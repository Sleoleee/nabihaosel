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1"/>
  </bookViews>
  <sheets>
    <sheet name="Branding &amp; Digital Marketing" sheetId="1" r:id="rId1"/>
    <sheet name="Commerce &amp; Offline Sto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16" authorId="0">
      <text>
        <r>
          <rPr>
            <sz val="10"/>
            <rFont val="SimSun"/>
            <charset val="134"/>
          </rPr>
          <t>======
ID#AAACFdtKULs
BP Strategy    (2026-07-16 11:47:10)
MASIH BELUM PASTI</t>
        </r>
      </text>
    </comment>
    <comment ref="I26" authorId="0">
      <text>
        <r>
          <rPr>
            <sz val="10"/>
            <rFont val="SimSun"/>
            <charset val="134"/>
          </rPr>
          <t>======
ID#AAACFdtKULk
BP Strategy    (2026-08-05 08:06:30)
perlu konfirmasi ulang dengan Bu Putri</t>
        </r>
      </text>
    </comment>
  </commentList>
</comments>
</file>

<file path=xl/comments2.xml><?xml version="1.0" encoding="utf-8"?>
<comments xmlns="http://schemas.openxmlformats.org/spreadsheetml/2006/main">
  <authors>
    <author/>
    <author>tigap</author>
  </authors>
  <commentList>
    <comment ref="C13" authorId="0">
      <text>
        <r>
          <rPr>
            <sz val="10"/>
            <rFont val="SimSun"/>
            <charset val="134"/>
          </rPr>
          <t>======
ID#AAACFdtKULo
BP Strategy    (2026-07-20 22:37:57)
Discuss with Pak Marvin - GMV Nominal saja</t>
        </r>
      </text>
    </comment>
    <comment ref="C24" authorId="1">
      <text>
        <r>
          <rPr>
            <b/>
            <sz val="9"/>
            <rFont val="Times New Roman"/>
            <charset val="0"/>
          </rPr>
          <t>tigap:</t>
        </r>
        <r>
          <rPr>
            <sz val="9"/>
            <rFont val="Times New Roman"/>
            <charset val="0"/>
          </rPr>
          <t xml:space="preserve">
Jadi KPI Subordinate saja. Indikator ini berpengaruh terhadap ach e-commerce, sehingga dengan adanya KPI E-commerce growth juga sudah mengcapture apakah output ini bagus atau tidak. 
Dengan pindahnya KPI ini ke KPI subordinate, contribution juga bisa disebar ke KPI utama.</t>
        </r>
      </text>
    </comment>
    <comment ref="C30" authorId="1">
      <text>
        <r>
          <rPr>
            <b/>
            <sz val="9"/>
            <rFont val="Times New Roman"/>
            <charset val="0"/>
          </rPr>
          <t>tigap:</t>
        </r>
        <r>
          <rPr>
            <sz val="9"/>
            <rFont val="Times New Roman"/>
            <charset val="0"/>
          </rPr>
          <t xml:space="preserve">
Jadi KPI Subordinate saja.</t>
        </r>
      </text>
    </comment>
    <comment ref="F34" authorId="1">
      <text>
        <r>
          <rPr>
            <b/>
            <sz val="9"/>
            <rFont val="Times New Roman"/>
            <charset val="0"/>
          </rPr>
          <t>tigap:</t>
        </r>
        <r>
          <rPr>
            <sz val="9"/>
            <rFont val="Times New Roman"/>
            <charset val="0"/>
          </rPr>
          <t xml:space="preserve">
Apakah sudah ada checklistnya?</t>
        </r>
      </text>
    </comment>
    <comment ref="H47" authorId="1">
      <text>
        <r>
          <rPr>
            <b/>
            <sz val="9"/>
            <rFont val="Times New Roman"/>
            <charset val="0"/>
          </rPr>
          <t>tigap:</t>
        </r>
        <r>
          <rPr>
            <sz val="9"/>
            <rFont val="Times New Roman"/>
            <charset val="0"/>
          </rPr>
          <t xml:space="preserve">
bagaimana cara ukur/hitungnya?</t>
        </r>
      </text>
    </comment>
  </commentList>
</comments>
</file>

<file path=xl/sharedStrings.xml><?xml version="1.0" encoding="utf-8"?>
<sst xmlns="http://schemas.openxmlformats.org/spreadsheetml/2006/main" count="457" uniqueCount="190">
  <si>
    <t>KEY PERFORMANCE INDICATOR (KPI)</t>
  </si>
  <si>
    <t>TPF</t>
  </si>
  <si>
    <t>BRAND &amp; DIGITAL MARKETING MANAGER</t>
  </si>
  <si>
    <t>Nama</t>
  </si>
  <si>
    <t>Departemen / Jabatan</t>
  </si>
  <si>
    <t>Brand &amp; Digital Marketing Manager</t>
  </si>
  <si>
    <t>Tanggal Bergabung</t>
  </si>
  <si>
    <t>Nama Atasan / Jabatan</t>
  </si>
  <si>
    <t>Tanggal Penilaian</t>
  </si>
  <si>
    <t>Periode Kinerja</t>
  </si>
  <si>
    <t>September</t>
  </si>
  <si>
    <t>REFERENSI TARGET REVENUE PER BULAN (2026)</t>
  </si>
  <si>
    <t>NO</t>
  </si>
  <si>
    <t>Sasaran Strategis &amp;
Key Performance Indicator</t>
  </si>
  <si>
    <t>Satuan</t>
  </si>
  <si>
    <t>Periode</t>
  </si>
  <si>
    <t>Sumber Data</t>
  </si>
  <si>
    <t>Existing</t>
  </si>
  <si>
    <t>Target 2026</t>
  </si>
  <si>
    <t>Realisasi 2026</t>
  </si>
  <si>
    <t>Polari-sasi</t>
  </si>
  <si>
    <t>Pencapaian 2026</t>
  </si>
  <si>
    <t>Bobot</t>
  </si>
  <si>
    <t>Skor Akhir</t>
  </si>
  <si>
    <t>Catatan KPI</t>
  </si>
  <si>
    <t>Bulan</t>
  </si>
  <si>
    <t>Target Omset Perusahaan</t>
  </si>
  <si>
    <t>Target Omset All Brands</t>
  </si>
  <si>
    <t>Target Omset Toko</t>
  </si>
  <si>
    <t>1</t>
  </si>
  <si>
    <t>Kontribusi Omset Perusahaan</t>
  </si>
  <si>
    <t>Review bulanan</t>
  </si>
  <si>
    <t>Agustus</t>
  </si>
  <si>
    <t>1.1</t>
  </si>
  <si>
    <t>Target Nominal Omset Perusahaan</t>
  </si>
  <si>
    <t>Rp</t>
  </si>
  <si>
    <t>Bulanan</t>
  </si>
  <si>
    <t>Lap. Keuangan / Finance</t>
  </si>
  <si>
    <t>Maks</t>
  </si>
  <si>
    <t>1.2</t>
  </si>
  <si>
    <t>Target Nominal Omset Brand</t>
  </si>
  <si>
    <t>Oktober</t>
  </si>
  <si>
    <t>2</t>
  </si>
  <si>
    <t>Customer Acquisition to Brand E-Commerce</t>
  </si>
  <si>
    <t>November</t>
  </si>
  <si>
    <t>2.1</t>
  </si>
  <si>
    <t>E-Commerce Traffic from Content</t>
  </si>
  <si>
    <t>%</t>
  </si>
  <si>
    <t>IG/TikTok Analytics + E-Comm</t>
  </si>
  <si>
    <t>Total visitors e-commerce / total profile visits akun brand</t>
  </si>
  <si>
    <t>Desember</t>
  </si>
  <si>
    <t>2.2</t>
  </si>
  <si>
    <t>E-Commerce Traffic from Ads</t>
  </si>
  <si>
    <t>Ads Manager + E-Comm</t>
  </si>
  <si>
    <t>Diukur dari link ads ke e-commerce</t>
  </si>
  <si>
    <t>3</t>
  </si>
  <si>
    <t>Brand Awareness Growth</t>
  </si>
  <si>
    <t>3.1</t>
  </si>
  <si>
    <t>Avg. Account Reach Growth (IG + TikTok)</t>
  </si>
  <si>
    <t>IG/TikTok Analytics</t>
  </si>
  <si>
    <t>3.2</t>
  </si>
  <si>
    <t>Avg. Content Views Growth (Reels + TikTok)</t>
  </si>
  <si>
    <t>3.3</t>
  </si>
  <si>
    <t>Avg. Profile Visits Growth</t>
  </si>
  <si>
    <t>3.4</t>
  </si>
  <si>
    <t>Avg. Followers Growth</t>
  </si>
  <si>
    <t>4</t>
  </si>
  <si>
    <t>Brand Reorder Rate</t>
  </si>
  <si>
    <t>4.1</t>
  </si>
  <si>
    <t>Brand Reorder Rate — Kamino</t>
  </si>
  <si>
    <t>SAP B1 / CRM</t>
  </si>
  <si>
    <t>4.2</t>
  </si>
  <si>
    <t>Brand Reorder Rate — Roche</t>
  </si>
  <si>
    <t>4.3</t>
  </si>
  <si>
    <t>Brand Reorder Rate — Glimore</t>
  </si>
  <si>
    <t>4.4</t>
  </si>
  <si>
    <t>Brand Reorder Rate — Mimori</t>
  </si>
  <si>
    <t>4.5</t>
  </si>
  <si>
    <t>Brand Reorder Rate — Others</t>
  </si>
  <si>
    <t>5</t>
  </si>
  <si>
    <t>Brand Campaign or Project Execution</t>
  </si>
  <si>
    <t>Review kuartal. Jika Special Campaign (5.2) kosong semua, bobot penuh 20% dinilai dari Regular Project (5.1). Jika terisi: Regular 10% &amp; Special 10%</t>
  </si>
  <si>
    <t>5.1</t>
  </si>
  <si>
    <t>Regular Project</t>
  </si>
  <si>
    <t>5.1.1</t>
  </si>
  <si>
    <t>% Project Selesai Tepat Waktu (on-time)</t>
  </si>
  <si>
    <t>Triwulan</t>
  </si>
  <si>
    <t>Project Tracker</t>
  </si>
  <si>
    <t>5.1.2</t>
  </si>
  <si>
    <t>% Project Capai Objective per Funnel</t>
  </si>
  <si>
    <t>5.1.3</t>
  </si>
  <si>
    <t>% Penyerapan Budget</t>
  </si>
  <si>
    <t>Finance + Project Tracker</t>
  </si>
  <si>
    <t>5.2</t>
  </si>
  <si>
    <t>Special Campaign / Event</t>
  </si>
  <si>
    <t>5.2.1</t>
  </si>
  <si>
    <t>5.2.2</t>
  </si>
  <si>
    <t>5.2.3</t>
  </si>
  <si>
    <t>Isi hanya jika ada Special Campaign di periode ini</t>
  </si>
  <si>
    <t>6</t>
  </si>
  <si>
    <t>Team Management &amp; Cross-Division Alignment</t>
  </si>
  <si>
    <t>6.1</t>
  </si>
  <si>
    <t>SPV / Team Target Achievement Rate</t>
  </si>
  <si>
    <t>KPI Report</t>
  </si>
  <si>
    <t>6.2</t>
  </si>
  <si>
    <t>Turnover Rate Tim (makin kecil makin baik)</t>
  </si>
  <si>
    <t>HR Data</t>
  </si>
  <si>
    <t>Min</t>
  </si>
  <si>
    <t>6.3</t>
  </si>
  <si>
    <t>Keberhasilan Projek Kolaborasi dgn Tim Commerce &amp; Offline Store</t>
  </si>
  <si>
    <t>Meeting/Report Log</t>
  </si>
  <si>
    <t>7</t>
  </si>
  <si>
    <t>Brand Health and Popularity Index</t>
  </si>
  <si>
    <t>Review tahunan</t>
  </si>
  <si>
    <t>7.1</t>
  </si>
  <si>
    <t>Brand Health &amp; Popularity Index Score</t>
  </si>
  <si>
    <t>index</t>
  </si>
  <si>
    <t>Tahunan</t>
  </si>
  <si>
    <t>Survey / Social Listening</t>
  </si>
  <si>
    <t>Definisi komposit indeks (mis. SOV, brand search, sentiment) mohon difinalkan</t>
  </si>
  <si>
    <t>TOTAL</t>
  </si>
  <si>
    <t>Keterangan:</t>
  </si>
  <si>
    <t>• Kolom KUNING (Realisasi 2026) diisi manual saat penilaian; Pencapaian &amp; Skor Akhir terisi otomatis.</t>
  </si>
  <si>
    <t>• Pencapaian = MIN(100%, Realisasi/Target) untuk polaritas Maks; = MIN(100%, Target/Realisasi) untuk Min. Skor Akhir = Pencapaian x Bobot.</t>
  </si>
  <si>
    <t>• Baseline (Existing) yang kosong: E-Commerce Traffic (2.1, 2.2), Penyerapan Budget, Omset Brand, dan Brand Health Index mohon dilengkapi klien.</t>
  </si>
  <si>
    <t>• Target Omset (1.1 &amp; 1.2) mengikuti bulan pada sel L9. Referensi target per bulan ada di tabel kanan (kolom Q-T).</t>
  </si>
  <si>
    <t>• Total bobot = 100%. Semua KPI ROI dihapus per revisi 11 Agustus.</t>
  </si>
  <si>
    <t>Dibuat oleh,</t>
  </si>
  <si>
    <t>Disetujui oleh,</t>
  </si>
  <si>
    <t>Mengetahui,</t>
  </si>
  <si>
    <t>(________________)</t>
  </si>
  <si>
    <t>COMMERCE &amp; OFFLINE STORE MARKETING MANAGER</t>
  </si>
  <si>
    <t>Commerce &amp; Offline Store Marketing Manager</t>
  </si>
  <si>
    <t>1.3</t>
  </si>
  <si>
    <t>Target Nominal Omset Toko</t>
  </si>
  <si>
    <t>E-Commerce GMV Growth</t>
  </si>
  <si>
    <t>E-Commerce GMV Growth — Mimori</t>
  </si>
  <si>
    <t>Shopee + TikTok Seller</t>
  </si>
  <si>
    <t>Target 15%/bulan, di luar event &amp; special campaign</t>
  </si>
  <si>
    <t>E-Commerce GMV Growth — Brand Lain</t>
  </si>
  <si>
    <t>Agregat brand selain Mimori</t>
  </si>
  <si>
    <t>ROAS E-Commerce &amp; Online Channel</t>
  </si>
  <si>
    <t>ROAS E-Commerce — Mimori</t>
  </si>
  <si>
    <t>x</t>
  </si>
  <si>
    <t>Shopee + TikTok Ads</t>
  </si>
  <si>
    <t>ROAS E-Commerce — Kamino</t>
  </si>
  <si>
    <t>ROAS E-Commerce — Roche</t>
  </si>
  <si>
    <t>ROAS E-Commerce — Glimore</t>
  </si>
  <si>
    <t>Omnichannel Online Performance</t>
  </si>
  <si>
    <t>Performa Live TikTok — Total Views</t>
  </si>
  <si>
    <t>views</t>
  </si>
  <si>
    <t>TikTok Live Analytics</t>
  </si>
  <si>
    <t>Live Conversion (GMV live + WA leads)</t>
  </si>
  <si>
    <t>TikTok Shop + WA Log</t>
  </si>
  <si>
    <t>Pertumbuhan Jumlah Affiliate Aktif</t>
  </si>
  <si>
    <t>orang</t>
  </si>
  <si>
    <t>TikTok Affiliate Dashboard</t>
  </si>
  <si>
    <t>Jumlah Video Affiliate Baru</t>
  </si>
  <si>
    <t>video</t>
  </si>
  <si>
    <t>Affiliate Dashboard</t>
  </si>
  <si>
    <t>Performa Video Internal TPF (Views Growth)</t>
  </si>
  <si>
    <t>TikTok Analytics</t>
  </si>
  <si>
    <t>Marketplace Health &amp; Operational</t>
  </si>
  <si>
    <t>Store Rating (Shopee + TikTok Shop)</t>
  </si>
  <si>
    <t>skor</t>
  </si>
  <si>
    <t>Seller Center</t>
  </si>
  <si>
    <t>% Komplain Terselesaikan Tepat Waktu</t>
  </si>
  <si>
    <t>5.3</t>
  </si>
  <si>
    <t>Chat Response Rate</t>
  </si>
  <si>
    <t>5.4</t>
  </si>
  <si>
    <t>Stock Availability Rate (% SKU in-stock)</t>
  </si>
  <si>
    <t>Inventory / Seller</t>
  </si>
  <si>
    <t>5.5</t>
  </si>
  <si>
    <t>Kesesuaian Dekorasi / Etalase Toko Online</t>
  </si>
  <si>
    <t>Audit Checklist</t>
  </si>
  <si>
    <t>Project Execution</t>
  </si>
  <si>
    <t>Review kuartal. Jika Special Campaign (6.2) kosong semua, bobot penuh 15% dinilai dari Regular Project (6.1). Jika terisi: Regular 7.5% &amp; Special 7.5%</t>
  </si>
  <si>
    <t>6.1.1</t>
  </si>
  <si>
    <t>6.1.2</t>
  </si>
  <si>
    <t>6.1.3</t>
  </si>
  <si>
    <t>6.2.1</t>
  </si>
  <si>
    <t>6.2.2</t>
  </si>
  <si>
    <t>6.2.3</t>
  </si>
  <si>
    <t>Team Management &amp; Channel Strategy</t>
  </si>
  <si>
    <t>7.2</t>
  </si>
  <si>
    <t>7.3</t>
  </si>
  <si>
    <t>Keberhasilan Projek Kolaborasi dgn Tim Brand &amp; Digital Marketing</t>
  </si>
  <si>
    <t>• Target Omset (1.1-1.3) mengikuti bulan yang dipilih di sel K8. Referensi target per bulan ada di tabel kanan (kolom Q-T).</t>
  </si>
  <si>
    <t>• Parent 6 (Project Execution): jika Realisasi 6.2 kosong semua, bobot 15% penuh ke Regular Project; jika terisi, Regular 7.5% + Special 7.5%.</t>
  </si>
  <si>
    <t>• Parent Offline Store Funnel Performance dihapus per revisi. Total bobot = 100%.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</si>
</sst>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7">
    <font>
      <sz val="11"/>
      <color theme="1"/>
      <name val="Calibri"/>
      <charset val="134"/>
      <scheme val="minor"/>
    </font>
    <font>
      <sz val="9"/>
      <color theme="1"/>
      <name val="Calibri"/>
      <charset val="134"/>
    </font>
    <font>
      <b/>
      <sz val="11"/>
      <color rgb="FFFFFFFF"/>
      <name val="Arial"/>
      <charset val="134"/>
    </font>
    <font>
      <sz val="11"/>
      <name val="Calibri"/>
      <charset val="134"/>
      <scheme val="minor"/>
    </font>
    <font>
      <b/>
      <sz val="11"/>
      <color rgb="FFC8102E"/>
      <name val="Arial"/>
      <charset val="134"/>
    </font>
    <font>
      <b/>
      <sz val="11"/>
      <color rgb="FF1A1A1A"/>
      <name val="Arial"/>
      <charset val="134"/>
    </font>
    <font>
      <b/>
      <sz val="9"/>
      <color rgb="FF1A1A1A"/>
      <name val="Arial"/>
      <charset val="134"/>
    </font>
    <font>
      <sz val="9"/>
      <color rgb="FF1A1A1A"/>
      <name val="Arial"/>
      <charset val="134"/>
    </font>
    <font>
      <b/>
      <sz val="9"/>
      <color rgb="FFFFFFFF"/>
      <name val="Arial"/>
      <charset val="134"/>
    </font>
    <font>
      <b/>
      <sz val="9"/>
      <color rgb="FF8B1E2D"/>
      <name val="Arial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</font>
    <font>
      <sz val="9"/>
      <color rgb="FF7A7A7A"/>
      <name val="Arial"/>
      <charset val="134"/>
    </font>
    <font>
      <sz val="9"/>
      <color rgb="FF555555"/>
      <name val="Arial"/>
      <charset val="134"/>
    </font>
    <font>
      <b/>
      <sz val="9"/>
      <color rgb="FF7A7A7A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  <font>
      <b/>
      <sz val="9"/>
      <name val="Times New Roman"/>
      <charset val="0"/>
    </font>
    <font>
      <sz val="9"/>
      <name val="Times New Roman"/>
      <charset val="0"/>
    </font>
  </fonts>
  <fills count="42">
    <fill>
      <patternFill patternType="none"/>
    </fill>
    <fill>
      <patternFill patternType="gray125"/>
    </fill>
    <fill>
      <patternFill patternType="solid">
        <fgColor rgb="FFC8102E"/>
        <bgColor rgb="FFC8102E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8B1E2D"/>
        <bgColor rgb="FF8B1E2D"/>
      </patternFill>
    </fill>
    <fill>
      <patternFill patternType="solid">
        <fgColor rgb="FFFFFFFF"/>
        <bgColor rgb="FFFFFFFF"/>
      </patternFill>
    </fill>
    <fill>
      <patternFill patternType="solid">
        <fgColor rgb="FFFFF6CC"/>
        <bgColor rgb="FFFFF6CC"/>
      </patternFill>
    </fill>
    <fill>
      <patternFill patternType="solid">
        <fgColor theme="5" tint="0.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7D3D6"/>
        <bgColor rgb="FFE7D3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25" fillId="13" borderId="9" applyNumberFormat="0" applyAlignment="0" applyProtection="0">
      <alignment vertical="center"/>
    </xf>
    <xf numFmtId="0" fontId="26" fillId="14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</cellStyleXfs>
  <cellXfs count="7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3" fillId="0" borderId="2" xfId="0" applyFont="1" applyBorder="1"/>
    <xf numFmtId="0" fontId="7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8" fillId="5" borderId="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3" fillId="0" borderId="4" xfId="0" applyFont="1" applyBorder="1"/>
    <xf numFmtId="0" fontId="11" fillId="5" borderId="3" xfId="0" applyFont="1" applyFill="1" applyBorder="1" applyAlignment="1">
      <alignment vertical="center"/>
    </xf>
    <xf numFmtId="9" fontId="8" fillId="5" borderId="3" xfId="0" applyNumberFormat="1" applyFont="1" applyFill="1" applyBorder="1" applyAlignment="1">
      <alignment horizontal="center" vertical="center"/>
    </xf>
    <xf numFmtId="178" fontId="8" fillId="5" borderId="3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 wrapText="1"/>
    </xf>
    <xf numFmtId="3" fontId="7" fillId="6" borderId="3" xfId="0" applyNumberFormat="1" applyFont="1" applyFill="1" applyBorder="1" applyAlignment="1">
      <alignment horizontal="center" vertical="center"/>
    </xf>
    <xf numFmtId="3" fontId="11" fillId="7" borderId="3" xfId="0" applyNumberFormat="1" applyFont="1" applyFill="1" applyBorder="1" applyAlignment="1">
      <alignment vertical="center"/>
    </xf>
    <xf numFmtId="178" fontId="7" fillId="6" borderId="3" xfId="0" applyNumberFormat="1" applyFont="1" applyFill="1" applyBorder="1" applyAlignment="1">
      <alignment horizontal="center" vertical="center"/>
    </xf>
    <xf numFmtId="9" fontId="6" fillId="6" borderId="3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right" vertical="center"/>
    </xf>
    <xf numFmtId="178" fontId="11" fillId="7" borderId="3" xfId="0" applyNumberFormat="1" applyFont="1" applyFill="1" applyBorder="1" applyAlignment="1">
      <alignment vertical="center"/>
    </xf>
    <xf numFmtId="178" fontId="6" fillId="6" borderId="3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vertical="center" wrapText="1"/>
    </xf>
    <xf numFmtId="3" fontId="6" fillId="6" borderId="3" xfId="0" applyNumberFormat="1" applyFont="1" applyFill="1" applyBorder="1" applyAlignment="1">
      <alignment horizontal="center" vertical="center"/>
    </xf>
    <xf numFmtId="2" fontId="6" fillId="6" borderId="3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9" fontId="6" fillId="3" borderId="3" xfId="0" applyNumberFormat="1" applyFont="1" applyFill="1" applyBorder="1" applyAlignment="1">
      <alignment horizontal="center" vertical="center"/>
    </xf>
    <xf numFmtId="178" fontId="6" fillId="3" borderId="3" xfId="0" applyNumberFormat="1" applyFont="1" applyFill="1" applyBorder="1" applyAlignment="1">
      <alignment vertical="center" wrapText="1"/>
    </xf>
    <xf numFmtId="178" fontId="7" fillId="8" borderId="3" xfId="0" applyNumberFormat="1" applyFont="1" applyFill="1" applyBorder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9" fontId="8" fillId="2" borderId="3" xfId="0" applyNumberFormat="1" applyFont="1" applyFill="1" applyBorder="1" applyAlignment="1">
      <alignment horizontal="center" vertical="center" wrapText="1"/>
    </xf>
    <xf numFmtId="178" fontId="8" fillId="2" borderId="3" xfId="0" applyNumberFormat="1" applyFont="1" applyFill="1" applyBorder="1" applyAlignment="1">
      <alignment horizontal="center" vertical="center" wrapText="1"/>
    </xf>
    <xf numFmtId="9" fontId="11" fillId="5" borderId="3" xfId="0" applyNumberFormat="1" applyFont="1" applyFill="1" applyBorder="1" applyAlignment="1">
      <alignment vertical="center"/>
    </xf>
    <xf numFmtId="3" fontId="13" fillId="6" borderId="3" xfId="0" applyNumberFormat="1" applyFont="1" applyFill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/>
    </xf>
    <xf numFmtId="178" fontId="10" fillId="0" borderId="3" xfId="0" applyNumberFormat="1" applyFont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horizontal="center" vertical="center"/>
    </xf>
    <xf numFmtId="3" fontId="13" fillId="9" borderId="3" xfId="0" applyNumberFormat="1" applyFont="1" applyFill="1" applyBorder="1" applyAlignment="1">
      <alignment horizontal="center" vertical="center" wrapText="1"/>
    </xf>
    <xf numFmtId="178" fontId="10" fillId="9" borderId="3" xfId="0" applyNumberFormat="1" applyFont="1" applyFill="1" applyBorder="1" applyAlignment="1">
      <alignment horizontal="center" vertical="center"/>
    </xf>
    <xf numFmtId="178" fontId="11" fillId="9" borderId="3" xfId="0" applyNumberFormat="1" applyFont="1" applyFill="1" applyBorder="1" applyAlignment="1">
      <alignment vertical="center"/>
    </xf>
    <xf numFmtId="178" fontId="7" fillId="9" borderId="3" xfId="0" applyNumberFormat="1" applyFont="1" applyFill="1" applyBorder="1" applyAlignment="1">
      <alignment horizontal="center" vertical="center"/>
    </xf>
    <xf numFmtId="9" fontId="6" fillId="9" borderId="3" xfId="0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6" fillId="10" borderId="3" xfId="0" applyFont="1" applyFill="1" applyBorder="1" applyAlignment="1">
      <alignment vertical="center"/>
    </xf>
    <xf numFmtId="178" fontId="6" fillId="10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8" fillId="5" borderId="3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102E"/>
    <pageSetUpPr fitToPage="1"/>
  </sheetPr>
  <dimension ref="A1:AB1000"/>
  <sheetViews>
    <sheetView showGridLines="0" zoomScale="82" zoomScaleNormal="82" workbookViewId="0">
      <pane xSplit="1" ySplit="10" topLeftCell="B12" activePane="bottomRight" state="frozen"/>
      <selection/>
      <selection pane="topRight"/>
      <selection pane="bottomLeft"/>
      <selection pane="bottomRight" activeCell="E9" sqref="E9:I9"/>
    </sheetView>
  </sheetViews>
  <sheetFormatPr defaultColWidth="14.4272727272727" defaultRowHeight="15" customHeight="1"/>
  <cols>
    <col min="1" max="1" width="2" customWidth="1"/>
    <col min="2" max="2" width="5" customWidth="1"/>
    <col min="3" max="3" width="17.7090909090909" customWidth="1"/>
    <col min="4" max="4" width="25.4272727272727" customWidth="1"/>
    <col min="5" max="5" width="10" customWidth="1"/>
    <col min="6" max="6" width="22" customWidth="1"/>
    <col min="7" max="8" width="17" customWidth="1"/>
    <col min="9" max="9" width="16" customWidth="1"/>
    <col min="10" max="10" width="9" customWidth="1"/>
    <col min="11" max="11" width="17" customWidth="1"/>
    <col min="12" max="12" width="17.4272727272727" customWidth="1"/>
    <col min="13" max="13" width="10" customWidth="1"/>
    <col min="14" max="14" width="26" customWidth="1"/>
    <col min="15" max="15" width="52.4272727272727" customWidth="1"/>
    <col min="16" max="28" width="8.70909090909091" customWidth="1"/>
  </cols>
  <sheetData>
    <row r="1" customHeight="1" spans="1:28">
      <c r="A1" s="1"/>
      <c r="B1" s="1"/>
      <c r="C1" s="50"/>
      <c r="D1" s="50"/>
      <c r="E1" s="50"/>
      <c r="F1" s="7"/>
      <c r="G1" s="7"/>
      <c r="H1" s="7"/>
      <c r="I1" s="50"/>
      <c r="J1" s="50"/>
      <c r="K1" s="50"/>
      <c r="L1" s="50"/>
      <c r="M1" s="50"/>
      <c r="N1" s="50"/>
      <c r="O1" s="50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7.75" customHeight="1" spans="1:28">
      <c r="A2" s="1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customHeight="1" spans="1:28">
      <c r="A3" s="1"/>
      <c r="B3" s="51"/>
      <c r="C3" s="3" t="s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 ht="18" customHeight="1" spans="1:28">
      <c r="A4" s="1"/>
      <c r="B4" s="51"/>
      <c r="C4" s="5" t="s">
        <v>1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</row>
    <row r="5" customHeight="1" spans="1:28">
      <c r="A5" s="1"/>
      <c r="B5" s="51"/>
      <c r="C5" s="6" t="s">
        <v>2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 customHeight="1" spans="1:28">
      <c r="A6" s="1"/>
      <c r="B6" s="51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</row>
    <row r="7" customHeight="1" spans="1:28">
      <c r="A7" s="1"/>
      <c r="B7" s="51"/>
      <c r="C7" s="11" t="s">
        <v>3</v>
      </c>
      <c r="D7" s="9"/>
      <c r="E7" s="53"/>
      <c r="F7" s="9"/>
      <c r="G7" s="9"/>
      <c r="H7" s="9"/>
      <c r="I7" s="9"/>
      <c r="J7" s="11" t="s">
        <v>4</v>
      </c>
      <c r="K7" s="9"/>
      <c r="L7" s="54" t="s">
        <v>5</v>
      </c>
      <c r="M7" s="9"/>
      <c r="N7" s="9"/>
      <c r="O7" s="9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</row>
    <row r="8" customHeight="1" spans="1:28">
      <c r="A8" s="1"/>
      <c r="B8" s="51"/>
      <c r="C8" s="11" t="s">
        <v>6</v>
      </c>
      <c r="D8" s="9"/>
      <c r="E8" s="53"/>
      <c r="F8" s="9"/>
      <c r="G8" s="9"/>
      <c r="H8" s="9"/>
      <c r="I8" s="9"/>
      <c r="J8" s="11" t="s">
        <v>7</v>
      </c>
      <c r="K8" s="9"/>
      <c r="L8" s="53"/>
      <c r="M8" s="9"/>
      <c r="N8" s="9"/>
      <c r="O8" s="9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</row>
    <row r="9" customHeight="1" spans="1:28">
      <c r="A9" s="1"/>
      <c r="B9" s="51"/>
      <c r="C9" s="11" t="s">
        <v>8</v>
      </c>
      <c r="D9" s="9"/>
      <c r="E9" s="53"/>
      <c r="F9" s="9"/>
      <c r="G9" s="9"/>
      <c r="H9" s="9"/>
      <c r="I9" s="9"/>
      <c r="J9" s="11" t="s">
        <v>9</v>
      </c>
      <c r="K9" s="9"/>
      <c r="L9" s="12" t="s">
        <v>10</v>
      </c>
      <c r="M9" s="13">
        <v>2026</v>
      </c>
      <c r="N9" s="55"/>
      <c r="O9" s="55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</row>
    <row r="10" ht="39.75" customHeight="1" spans="1:28">
      <c r="A10" s="1"/>
      <c r="B10" s="51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1"/>
      <c r="Q10" s="16" t="s">
        <v>11</v>
      </c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</row>
    <row r="11" ht="19.5" customHeight="1" spans="1:28">
      <c r="A11" s="1"/>
      <c r="B11" s="51"/>
      <c r="C11" s="15" t="s">
        <v>12</v>
      </c>
      <c r="D11" s="15" t="s">
        <v>13</v>
      </c>
      <c r="E11" s="15" t="s">
        <v>14</v>
      </c>
      <c r="F11" s="15" t="s">
        <v>15</v>
      </c>
      <c r="G11" s="15" t="s">
        <v>16</v>
      </c>
      <c r="H11" s="15" t="s">
        <v>17</v>
      </c>
      <c r="I11" s="15" t="s">
        <v>18</v>
      </c>
      <c r="J11" s="15" t="s">
        <v>19</v>
      </c>
      <c r="K11" s="15" t="s">
        <v>20</v>
      </c>
      <c r="L11" s="56" t="s">
        <v>21</v>
      </c>
      <c r="M11" s="57" t="s">
        <v>22</v>
      </c>
      <c r="N11" s="15" t="s">
        <v>23</v>
      </c>
      <c r="O11" s="15" t="s">
        <v>24</v>
      </c>
      <c r="P11" s="51"/>
      <c r="Q11" s="24" t="s">
        <v>25</v>
      </c>
      <c r="R11" s="24" t="s">
        <v>26</v>
      </c>
      <c r="S11" s="24" t="s">
        <v>27</v>
      </c>
      <c r="T11" s="24" t="s">
        <v>28</v>
      </c>
      <c r="U11" s="51"/>
      <c r="V11" s="51"/>
      <c r="W11" s="51"/>
      <c r="X11" s="51"/>
      <c r="Y11" s="51"/>
      <c r="Z11" s="51"/>
      <c r="AA11" s="51"/>
      <c r="AB11" s="51"/>
    </row>
    <row r="12" ht="30" customHeight="1" spans="1:28">
      <c r="A12" s="17"/>
      <c r="B12" s="17"/>
      <c r="C12" s="18" t="s">
        <v>29</v>
      </c>
      <c r="D12" s="19" t="s">
        <v>30</v>
      </c>
      <c r="E12" s="9"/>
      <c r="F12" s="9"/>
      <c r="G12" s="9"/>
      <c r="H12" s="9"/>
      <c r="I12" s="9"/>
      <c r="J12" s="9"/>
      <c r="K12" s="20"/>
      <c r="L12" s="58"/>
      <c r="M12" s="22">
        <f t="shared" ref="M12:N12" si="0">M13+M14</f>
        <v>0.2</v>
      </c>
      <c r="N12" s="23">
        <f t="shared" si="0"/>
        <v>0</v>
      </c>
      <c r="O12" s="21" t="s">
        <v>31</v>
      </c>
      <c r="P12" s="51"/>
      <c r="Q12" s="33" t="s">
        <v>32</v>
      </c>
      <c r="R12" s="34">
        <v>38957580596</v>
      </c>
      <c r="S12" s="34">
        <v>10743141381</v>
      </c>
      <c r="T12" s="34">
        <v>14934644543</v>
      </c>
      <c r="U12" s="51"/>
      <c r="V12" s="51"/>
      <c r="W12" s="51"/>
      <c r="X12" s="51"/>
      <c r="Y12" s="51"/>
      <c r="Z12" s="51"/>
      <c r="AA12" s="51"/>
      <c r="AB12" s="51"/>
    </row>
    <row r="13" ht="24" customHeight="1" spans="1:28">
      <c r="A13" s="17"/>
      <c r="B13" s="17"/>
      <c r="C13" s="25" t="s">
        <v>33</v>
      </c>
      <c r="D13" s="26" t="s">
        <v>34</v>
      </c>
      <c r="E13" s="27" t="s">
        <v>35</v>
      </c>
      <c r="F13" s="27" t="s">
        <v>36</v>
      </c>
      <c r="G13" s="59" t="s">
        <v>37</v>
      </c>
      <c r="H13" s="60">
        <v>33880000000</v>
      </c>
      <c r="I13" s="60">
        <f t="array" ref="I13">IFERROR(INDEX($R$12:$R$16,MATCH($L$9,$Q$12:$Q$16,0)),"")</f>
        <v>37211714638</v>
      </c>
      <c r="J13" s="30"/>
      <c r="K13" s="31" t="s">
        <v>38</v>
      </c>
      <c r="L13" s="31">
        <f t="shared" ref="L13:L14" si="1">IF(I13=0,0,MIN(1,J13/I13))</f>
        <v>0</v>
      </c>
      <c r="M13" s="32">
        <v>0.05</v>
      </c>
      <c r="N13" s="31">
        <f t="shared" ref="N13:N14" si="2">L13*M13</f>
        <v>0</v>
      </c>
      <c r="O13" s="26"/>
      <c r="P13" s="51"/>
      <c r="Q13" s="33" t="s">
        <v>10</v>
      </c>
      <c r="R13" s="34">
        <v>37211714638</v>
      </c>
      <c r="S13" s="34">
        <v>10261692468</v>
      </c>
      <c r="T13" s="34">
        <v>14265355354</v>
      </c>
      <c r="U13" s="51"/>
      <c r="V13" s="51"/>
      <c r="W13" s="51"/>
      <c r="X13" s="51"/>
      <c r="Y13" s="51"/>
      <c r="Z13" s="51"/>
      <c r="AA13" s="51"/>
      <c r="AB13" s="51"/>
    </row>
    <row r="14" ht="24" customHeight="1" spans="1:28">
      <c r="A14" s="17"/>
      <c r="B14" s="17"/>
      <c r="C14" s="25" t="s">
        <v>39</v>
      </c>
      <c r="D14" s="26" t="s">
        <v>40</v>
      </c>
      <c r="E14" s="27" t="s">
        <v>35</v>
      </c>
      <c r="F14" s="27" t="s">
        <v>36</v>
      </c>
      <c r="G14" s="59" t="s">
        <v>37</v>
      </c>
      <c r="H14" s="60"/>
      <c r="I14" s="60">
        <f t="array" ref="I14">IFERROR(INDEX($S$12:$S$16,MATCH($L$9,$Q$12:$Q$16,0)),"")</f>
        <v>10261692468</v>
      </c>
      <c r="J14" s="30"/>
      <c r="K14" s="31" t="s">
        <v>38</v>
      </c>
      <c r="L14" s="31">
        <f t="shared" si="1"/>
        <v>0</v>
      </c>
      <c r="M14" s="32">
        <v>0.15</v>
      </c>
      <c r="N14" s="31">
        <f t="shared" si="2"/>
        <v>0</v>
      </c>
      <c r="O14" s="26"/>
      <c r="P14" s="51"/>
      <c r="Q14" s="33" t="s">
        <v>41</v>
      </c>
      <c r="R14" s="34">
        <v>38203580376</v>
      </c>
      <c r="S14" s="34">
        <v>10535214430</v>
      </c>
      <c r="T14" s="34">
        <v>14645593603</v>
      </c>
      <c r="U14" s="51"/>
      <c r="V14" s="51"/>
      <c r="W14" s="51"/>
      <c r="X14" s="51"/>
      <c r="Y14" s="51"/>
      <c r="Z14" s="51"/>
      <c r="AA14" s="51"/>
      <c r="AB14" s="51"/>
    </row>
    <row r="15" ht="30" customHeight="1" spans="1:28">
      <c r="A15" s="17"/>
      <c r="B15" s="17"/>
      <c r="C15" s="18" t="s">
        <v>42</v>
      </c>
      <c r="D15" s="19" t="s">
        <v>43</v>
      </c>
      <c r="E15" s="9"/>
      <c r="F15" s="9"/>
      <c r="G15" s="9"/>
      <c r="H15" s="9"/>
      <c r="I15" s="9"/>
      <c r="J15" s="9"/>
      <c r="K15" s="20"/>
      <c r="L15" s="58"/>
      <c r="M15" s="22">
        <f t="shared" ref="M15:N15" si="3">M16+M17</f>
        <v>0.15</v>
      </c>
      <c r="N15" s="23">
        <f t="shared" si="3"/>
        <v>0</v>
      </c>
      <c r="O15" s="21" t="s">
        <v>31</v>
      </c>
      <c r="P15" s="51"/>
      <c r="Q15" s="33" t="s">
        <v>44</v>
      </c>
      <c r="R15" s="34">
        <v>40036332419</v>
      </c>
      <c r="S15" s="34">
        <v>11040623493</v>
      </c>
      <c r="T15" s="34">
        <v>15348191144</v>
      </c>
      <c r="U15" s="51"/>
      <c r="V15" s="51"/>
      <c r="W15" s="51"/>
      <c r="X15" s="51"/>
      <c r="Y15" s="51"/>
      <c r="Z15" s="51"/>
      <c r="AA15" s="51"/>
      <c r="AB15" s="51"/>
    </row>
    <row r="16" ht="24" customHeight="1" spans="1:28">
      <c r="A16" s="17"/>
      <c r="B16" s="17"/>
      <c r="C16" s="25" t="s">
        <v>45</v>
      </c>
      <c r="D16" s="26" t="s">
        <v>46</v>
      </c>
      <c r="E16" s="27" t="s">
        <v>47</v>
      </c>
      <c r="F16" s="27" t="s">
        <v>36</v>
      </c>
      <c r="G16" s="59" t="s">
        <v>48</v>
      </c>
      <c r="H16" s="61"/>
      <c r="I16" s="61">
        <v>0.1</v>
      </c>
      <c r="J16" s="35"/>
      <c r="K16" s="31" t="s">
        <v>38</v>
      </c>
      <c r="L16" s="31">
        <f t="shared" ref="L16:L17" si="4">IF(I16=0,0,MIN(1,J16/I16))</f>
        <v>0</v>
      </c>
      <c r="M16" s="32">
        <v>0.075</v>
      </c>
      <c r="N16" s="31">
        <f t="shared" ref="N16:N17" si="5">L16*M16</f>
        <v>0</v>
      </c>
      <c r="O16" s="26" t="s">
        <v>49</v>
      </c>
      <c r="P16" s="51"/>
      <c r="Q16" s="33" t="s">
        <v>50</v>
      </c>
      <c r="R16" s="34">
        <v>47400065620</v>
      </c>
      <c r="S16" s="34">
        <v>13071284167</v>
      </c>
      <c r="T16" s="34">
        <v>18171126659</v>
      </c>
      <c r="U16" s="51"/>
      <c r="V16" s="51"/>
      <c r="W16" s="51"/>
      <c r="X16" s="51"/>
      <c r="Y16" s="51"/>
      <c r="Z16" s="51"/>
      <c r="AA16" s="51"/>
      <c r="AB16" s="51"/>
    </row>
    <row r="17" ht="24" customHeight="1" spans="1:28">
      <c r="A17" s="17"/>
      <c r="B17" s="17"/>
      <c r="C17" s="25" t="s">
        <v>51</v>
      </c>
      <c r="D17" s="26" t="s">
        <v>52</v>
      </c>
      <c r="E17" s="27" t="s">
        <v>47</v>
      </c>
      <c r="F17" s="27" t="s">
        <v>36</v>
      </c>
      <c r="G17" s="59" t="s">
        <v>53</v>
      </c>
      <c r="H17" s="61"/>
      <c r="I17" s="61">
        <v>0.2</v>
      </c>
      <c r="J17" s="35"/>
      <c r="K17" s="31" t="s">
        <v>38</v>
      </c>
      <c r="L17" s="31">
        <f t="shared" si="4"/>
        <v>0</v>
      </c>
      <c r="M17" s="32">
        <v>0.075</v>
      </c>
      <c r="N17" s="31">
        <f t="shared" si="5"/>
        <v>0</v>
      </c>
      <c r="O17" s="26" t="s">
        <v>54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</row>
    <row r="18" ht="30" customHeight="1" spans="1:28">
      <c r="A18" s="17"/>
      <c r="B18" s="17"/>
      <c r="C18" s="18" t="s">
        <v>55</v>
      </c>
      <c r="D18" s="19" t="s">
        <v>56</v>
      </c>
      <c r="E18" s="9"/>
      <c r="F18" s="9"/>
      <c r="G18" s="9"/>
      <c r="H18" s="9"/>
      <c r="I18" s="9"/>
      <c r="J18" s="9"/>
      <c r="K18" s="20"/>
      <c r="L18" s="58"/>
      <c r="M18" s="22">
        <f t="shared" ref="M18:N18" si="6">SUM(M19:M22)</f>
        <v>0.1</v>
      </c>
      <c r="N18" s="23">
        <f t="shared" si="6"/>
        <v>0</v>
      </c>
      <c r="O18" s="21" t="s">
        <v>31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</row>
    <row r="19" ht="24" customHeight="1" spans="1:28">
      <c r="A19" s="17"/>
      <c r="B19" s="17"/>
      <c r="C19" s="25" t="s">
        <v>57</v>
      </c>
      <c r="D19" s="26" t="s">
        <v>58</v>
      </c>
      <c r="E19" s="27" t="s">
        <v>47</v>
      </c>
      <c r="F19" s="27" t="s">
        <v>36</v>
      </c>
      <c r="G19" s="59" t="s">
        <v>59</v>
      </c>
      <c r="H19" s="61">
        <v>0.381378</v>
      </c>
      <c r="I19" s="61">
        <v>0.45</v>
      </c>
      <c r="J19" s="35"/>
      <c r="K19" s="31" t="s">
        <v>38</v>
      </c>
      <c r="L19" s="31">
        <f t="shared" ref="L19:L22" si="7">IF(I19=0,0,MIN(1,J19/I19))</f>
        <v>0</v>
      </c>
      <c r="M19" s="32">
        <v>0.035</v>
      </c>
      <c r="N19" s="31">
        <f t="shared" ref="N19:N22" si="8">L19*M19</f>
        <v>0</v>
      </c>
      <c r="O19" s="26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</row>
    <row r="20" ht="24" customHeight="1" spans="1:28">
      <c r="A20" s="17"/>
      <c r="B20" s="17"/>
      <c r="C20" s="25" t="s">
        <v>60</v>
      </c>
      <c r="D20" s="26" t="s">
        <v>61</v>
      </c>
      <c r="E20" s="27" t="s">
        <v>47</v>
      </c>
      <c r="F20" s="27" t="s">
        <v>36</v>
      </c>
      <c r="G20" s="59" t="s">
        <v>59</v>
      </c>
      <c r="H20" s="61">
        <v>0.305511</v>
      </c>
      <c r="I20" s="61">
        <v>0.35</v>
      </c>
      <c r="J20" s="35"/>
      <c r="K20" s="31" t="s">
        <v>38</v>
      </c>
      <c r="L20" s="31">
        <f t="shared" si="7"/>
        <v>0</v>
      </c>
      <c r="M20" s="32">
        <v>0.03</v>
      </c>
      <c r="N20" s="31">
        <f t="shared" si="8"/>
        <v>0</v>
      </c>
      <c r="O20" s="26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</row>
    <row r="21" ht="24" customHeight="1" spans="1:28">
      <c r="A21" s="17"/>
      <c r="B21" s="17"/>
      <c r="C21" s="25" t="s">
        <v>62</v>
      </c>
      <c r="D21" s="26" t="s">
        <v>63</v>
      </c>
      <c r="E21" s="27" t="s">
        <v>47</v>
      </c>
      <c r="F21" s="27" t="s">
        <v>36</v>
      </c>
      <c r="G21" s="59" t="s">
        <v>59</v>
      </c>
      <c r="H21" s="61">
        <v>0.176705</v>
      </c>
      <c r="I21" s="61">
        <v>0.25</v>
      </c>
      <c r="J21" s="35"/>
      <c r="K21" s="31" t="s">
        <v>38</v>
      </c>
      <c r="L21" s="31">
        <f t="shared" si="7"/>
        <v>0</v>
      </c>
      <c r="M21" s="32">
        <v>0.02</v>
      </c>
      <c r="N21" s="31">
        <f t="shared" si="8"/>
        <v>0</v>
      </c>
      <c r="O21" s="26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</row>
    <row r="22" ht="24" customHeight="1" spans="1:28">
      <c r="A22" s="17"/>
      <c r="B22" s="17"/>
      <c r="C22" s="25" t="s">
        <v>64</v>
      </c>
      <c r="D22" s="26" t="s">
        <v>65</v>
      </c>
      <c r="E22" s="27" t="s">
        <v>47</v>
      </c>
      <c r="F22" s="27" t="s">
        <v>36</v>
      </c>
      <c r="G22" s="59" t="s">
        <v>59</v>
      </c>
      <c r="H22" s="61">
        <v>0.321059</v>
      </c>
      <c r="I22" s="61">
        <v>0.35</v>
      </c>
      <c r="J22" s="35"/>
      <c r="K22" s="31" t="s">
        <v>38</v>
      </c>
      <c r="L22" s="31">
        <f t="shared" si="7"/>
        <v>0</v>
      </c>
      <c r="M22" s="32">
        <v>0.015</v>
      </c>
      <c r="N22" s="31">
        <f t="shared" si="8"/>
        <v>0</v>
      </c>
      <c r="O22" s="26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</row>
    <row r="23" ht="30" customHeight="1" spans="1:28">
      <c r="A23" s="17"/>
      <c r="B23" s="17"/>
      <c r="C23" s="18" t="s">
        <v>66</v>
      </c>
      <c r="D23" s="19" t="s">
        <v>67</v>
      </c>
      <c r="E23" s="9"/>
      <c r="F23" s="9"/>
      <c r="G23" s="9"/>
      <c r="H23" s="9"/>
      <c r="I23" s="9"/>
      <c r="J23" s="9"/>
      <c r="K23" s="20"/>
      <c r="L23" s="58"/>
      <c r="M23" s="22">
        <f t="shared" ref="M23:N23" si="9">SUM(M24:M28)</f>
        <v>0.15</v>
      </c>
      <c r="N23" s="23">
        <f t="shared" si="9"/>
        <v>0</v>
      </c>
      <c r="O23" s="21" t="s">
        <v>31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 ht="24" customHeight="1" spans="1:28">
      <c r="A24" s="17"/>
      <c r="B24" s="17"/>
      <c r="C24" s="25" t="s">
        <v>68</v>
      </c>
      <c r="D24" s="26" t="s">
        <v>69</v>
      </c>
      <c r="E24" s="27" t="s">
        <v>47</v>
      </c>
      <c r="F24" s="27" t="s">
        <v>36</v>
      </c>
      <c r="G24" s="59" t="s">
        <v>70</v>
      </c>
      <c r="H24" s="61">
        <v>0.264</v>
      </c>
      <c r="I24" s="61">
        <v>0.35</v>
      </c>
      <c r="J24" s="35"/>
      <c r="K24" s="31" t="s">
        <v>38</v>
      </c>
      <c r="L24" s="31">
        <f t="shared" ref="L24:L28" si="10">IF(I24=0,0,MIN(1,J24/I24))</f>
        <v>0</v>
      </c>
      <c r="M24" s="32">
        <v>0.045</v>
      </c>
      <c r="N24" s="31">
        <f t="shared" ref="N24:N28" si="11">L24*M24</f>
        <v>0</v>
      </c>
      <c r="O24" s="26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 ht="24" customHeight="1" spans="1:28">
      <c r="A25" s="17"/>
      <c r="B25" s="17"/>
      <c r="C25" s="25" t="s">
        <v>71</v>
      </c>
      <c r="D25" s="26" t="s">
        <v>72</v>
      </c>
      <c r="E25" s="27" t="s">
        <v>47</v>
      </c>
      <c r="F25" s="27" t="s">
        <v>36</v>
      </c>
      <c r="G25" s="59" t="s">
        <v>70</v>
      </c>
      <c r="H25" s="61">
        <v>0.3</v>
      </c>
      <c r="I25" s="61">
        <v>0.4</v>
      </c>
      <c r="J25" s="35"/>
      <c r="K25" s="31" t="s">
        <v>38</v>
      </c>
      <c r="L25" s="31">
        <f t="shared" si="10"/>
        <v>0</v>
      </c>
      <c r="M25" s="32">
        <v>0.0375</v>
      </c>
      <c r="N25" s="31">
        <f t="shared" si="11"/>
        <v>0</v>
      </c>
      <c r="O25" s="26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</row>
    <row r="26" ht="24" customHeight="1" spans="1:28">
      <c r="A26" s="17"/>
      <c r="B26" s="17"/>
      <c r="C26" s="25" t="s">
        <v>73</v>
      </c>
      <c r="D26" s="26" t="s">
        <v>74</v>
      </c>
      <c r="E26" s="27" t="s">
        <v>47</v>
      </c>
      <c r="F26" s="27" t="s">
        <v>36</v>
      </c>
      <c r="G26" s="59" t="s">
        <v>70</v>
      </c>
      <c r="H26" s="61">
        <v>0.165</v>
      </c>
      <c r="I26" s="61">
        <v>0.2</v>
      </c>
      <c r="J26" s="35"/>
      <c r="K26" s="31" t="s">
        <v>38</v>
      </c>
      <c r="L26" s="31">
        <f t="shared" si="10"/>
        <v>0</v>
      </c>
      <c r="M26" s="32">
        <v>0.03</v>
      </c>
      <c r="N26" s="31">
        <f t="shared" si="11"/>
        <v>0</v>
      </c>
      <c r="O26" s="26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  <row r="27" ht="24" customHeight="1" spans="1:28">
      <c r="A27" s="17"/>
      <c r="B27" s="17"/>
      <c r="C27" s="62" t="s">
        <v>75</v>
      </c>
      <c r="D27" s="63" t="s">
        <v>76</v>
      </c>
      <c r="E27" s="64" t="s">
        <v>47</v>
      </c>
      <c r="F27" s="64" t="s">
        <v>36</v>
      </c>
      <c r="G27" s="65" t="s">
        <v>70</v>
      </c>
      <c r="H27" s="66">
        <v>0.2</v>
      </c>
      <c r="I27" s="66">
        <v>0.2</v>
      </c>
      <c r="J27" s="67"/>
      <c r="K27" s="68" t="s">
        <v>38</v>
      </c>
      <c r="L27" s="68">
        <f t="shared" si="10"/>
        <v>0</v>
      </c>
      <c r="M27" s="69">
        <v>0.0225</v>
      </c>
      <c r="N27" s="68">
        <f t="shared" si="11"/>
        <v>0</v>
      </c>
      <c r="O27" s="26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</row>
    <row r="28" ht="24" customHeight="1" spans="1:28">
      <c r="A28" s="17"/>
      <c r="B28" s="17"/>
      <c r="C28" s="25" t="s">
        <v>77</v>
      </c>
      <c r="D28" s="26" t="s">
        <v>78</v>
      </c>
      <c r="E28" s="27" t="s">
        <v>47</v>
      </c>
      <c r="F28" s="27" t="s">
        <v>36</v>
      </c>
      <c r="G28" s="59" t="s">
        <v>70</v>
      </c>
      <c r="H28" s="61">
        <v>0.15</v>
      </c>
      <c r="I28" s="61">
        <v>0.15</v>
      </c>
      <c r="J28" s="35"/>
      <c r="K28" s="31" t="s">
        <v>38</v>
      </c>
      <c r="L28" s="31">
        <f t="shared" si="10"/>
        <v>0</v>
      </c>
      <c r="M28" s="32">
        <v>0.015</v>
      </c>
      <c r="N28" s="31">
        <f t="shared" si="11"/>
        <v>0</v>
      </c>
      <c r="O28" s="26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</row>
    <row r="29" ht="30" customHeight="1" spans="1:28">
      <c r="A29" s="17"/>
      <c r="B29" s="17"/>
      <c r="C29" s="18" t="s">
        <v>79</v>
      </c>
      <c r="D29" s="19" t="s">
        <v>80</v>
      </c>
      <c r="E29" s="9"/>
      <c r="F29" s="9"/>
      <c r="G29" s="9"/>
      <c r="H29" s="9"/>
      <c r="I29" s="9"/>
      <c r="J29" s="9"/>
      <c r="K29" s="20"/>
      <c r="L29" s="58"/>
      <c r="M29" s="22">
        <f t="shared" ref="M29:N29" si="12">M30+M34</f>
        <v>0.2</v>
      </c>
      <c r="N29" s="23">
        <f t="shared" si="12"/>
        <v>0</v>
      </c>
      <c r="O29" s="21" t="s">
        <v>81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</row>
    <row r="30" ht="24" customHeight="1" spans="1:28">
      <c r="A30" s="17"/>
      <c r="B30" s="17"/>
      <c r="C30" s="70" t="s">
        <v>82</v>
      </c>
      <c r="D30" s="71" t="s">
        <v>83</v>
      </c>
      <c r="E30" s="9"/>
      <c r="F30" s="9"/>
      <c r="G30" s="9"/>
      <c r="H30" s="9"/>
      <c r="I30" s="9"/>
      <c r="J30" s="9"/>
      <c r="K30" s="20"/>
      <c r="L30" s="72"/>
      <c r="M30" s="73">
        <f t="shared" ref="M30:N30" si="13">SUM(M31:M33)</f>
        <v>0.2</v>
      </c>
      <c r="N30" s="73">
        <f t="shared" si="13"/>
        <v>0</v>
      </c>
      <c r="O30" s="72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</row>
    <row r="31" ht="24" customHeight="1" spans="1:28">
      <c r="A31" s="17"/>
      <c r="B31" s="17"/>
      <c r="C31" s="25" t="s">
        <v>84</v>
      </c>
      <c r="D31" s="26" t="s">
        <v>85</v>
      </c>
      <c r="E31" s="27" t="s">
        <v>47</v>
      </c>
      <c r="F31" s="27" t="s">
        <v>86</v>
      </c>
      <c r="G31" s="59" t="s">
        <v>87</v>
      </c>
      <c r="H31" s="61">
        <v>1</v>
      </c>
      <c r="I31" s="61">
        <v>1</v>
      </c>
      <c r="J31" s="35"/>
      <c r="K31" s="31" t="s">
        <v>38</v>
      </c>
      <c r="L31" s="31">
        <f t="shared" ref="L31:L33" si="14">IF(I31=0,0,MIN(1,J31/I31))</f>
        <v>0</v>
      </c>
      <c r="M31" s="36">
        <f t="shared" ref="M31:M33" si="15">IF(SUM($J$35:$J$37)=0,0.2/3,0.1/3)</f>
        <v>0.0666666666666667</v>
      </c>
      <c r="N31" s="31">
        <f t="shared" ref="N31:N33" si="16">L31*M31</f>
        <v>0</v>
      </c>
      <c r="O31" s="26"/>
      <c r="P31" s="51"/>
      <c r="Q31" s="51"/>
      <c r="R31" s="51"/>
      <c r="S31" s="74"/>
      <c r="T31" s="51"/>
      <c r="U31" s="51"/>
      <c r="V31" s="51"/>
      <c r="W31" s="51"/>
      <c r="X31" s="51"/>
      <c r="Y31" s="51"/>
      <c r="Z31" s="51"/>
      <c r="AA31" s="51"/>
      <c r="AB31" s="51"/>
    </row>
    <row r="32" ht="24" customHeight="1" spans="1:28">
      <c r="A32" s="17"/>
      <c r="B32" s="17"/>
      <c r="C32" s="25" t="s">
        <v>88</v>
      </c>
      <c r="D32" s="26" t="s">
        <v>89</v>
      </c>
      <c r="E32" s="27" t="s">
        <v>47</v>
      </c>
      <c r="F32" s="27" t="s">
        <v>86</v>
      </c>
      <c r="G32" s="59" t="s">
        <v>87</v>
      </c>
      <c r="H32" s="61">
        <v>0.95</v>
      </c>
      <c r="I32" s="61">
        <v>0.97</v>
      </c>
      <c r="J32" s="35"/>
      <c r="K32" s="31" t="s">
        <v>38</v>
      </c>
      <c r="L32" s="31">
        <f t="shared" si="14"/>
        <v>0</v>
      </c>
      <c r="M32" s="36">
        <f t="shared" si="15"/>
        <v>0.0666666666666667</v>
      </c>
      <c r="N32" s="31">
        <f t="shared" si="16"/>
        <v>0</v>
      </c>
      <c r="O32" s="26"/>
      <c r="P32" s="51"/>
      <c r="Q32" s="51"/>
      <c r="R32" s="51"/>
      <c r="T32" s="51"/>
      <c r="U32" s="51"/>
      <c r="V32" s="51"/>
      <c r="W32" s="51"/>
      <c r="X32" s="51"/>
      <c r="Y32" s="51"/>
      <c r="Z32" s="51"/>
      <c r="AA32" s="51"/>
      <c r="AB32" s="51"/>
    </row>
    <row r="33" ht="24" customHeight="1" spans="1:28">
      <c r="A33" s="17"/>
      <c r="B33" s="17"/>
      <c r="C33" s="25" t="s">
        <v>90</v>
      </c>
      <c r="D33" s="26" t="s">
        <v>91</v>
      </c>
      <c r="E33" s="27" t="s">
        <v>47</v>
      </c>
      <c r="F33" s="27" t="s">
        <v>86</v>
      </c>
      <c r="G33" s="59" t="s">
        <v>92</v>
      </c>
      <c r="H33" s="61"/>
      <c r="I33" s="61">
        <v>1</v>
      </c>
      <c r="J33" s="35"/>
      <c r="K33" s="31" t="s">
        <v>38</v>
      </c>
      <c r="L33" s="31">
        <f t="shared" si="14"/>
        <v>0</v>
      </c>
      <c r="M33" s="36">
        <f t="shared" si="15"/>
        <v>0.0666666666666667</v>
      </c>
      <c r="N33" s="31">
        <f t="shared" si="16"/>
        <v>0</v>
      </c>
      <c r="O33" s="26"/>
      <c r="P33" s="51"/>
      <c r="Q33" s="51"/>
      <c r="R33" s="51"/>
      <c r="T33" s="51"/>
      <c r="U33" s="51"/>
      <c r="V33" s="51"/>
      <c r="W33" s="51"/>
      <c r="X33" s="51"/>
      <c r="Y33" s="51"/>
      <c r="Z33" s="51"/>
      <c r="AA33" s="51"/>
      <c r="AB33" s="51"/>
    </row>
    <row r="34" ht="24" customHeight="1" spans="1:28">
      <c r="A34" s="17"/>
      <c r="B34" s="17"/>
      <c r="C34" s="70" t="s">
        <v>93</v>
      </c>
      <c r="D34" s="71" t="s">
        <v>94</v>
      </c>
      <c r="E34" s="9"/>
      <c r="F34" s="9"/>
      <c r="G34" s="9"/>
      <c r="H34" s="9"/>
      <c r="I34" s="9"/>
      <c r="J34" s="9"/>
      <c r="K34" s="20"/>
      <c r="L34" s="72"/>
      <c r="M34" s="73">
        <f t="shared" ref="M34:N34" si="17">SUM(M35:M37)</f>
        <v>0</v>
      </c>
      <c r="N34" s="73">
        <f t="shared" si="17"/>
        <v>0</v>
      </c>
      <c r="O34" s="72"/>
      <c r="P34" s="51"/>
      <c r="Q34" s="51"/>
      <c r="R34" s="51"/>
      <c r="T34" s="51"/>
      <c r="U34" s="51"/>
      <c r="V34" s="51"/>
      <c r="W34" s="51"/>
      <c r="X34" s="51"/>
      <c r="Y34" s="51"/>
      <c r="Z34" s="51"/>
      <c r="AA34" s="51"/>
      <c r="AB34" s="51"/>
    </row>
    <row r="35" ht="24" customHeight="1" spans="1:28">
      <c r="A35" s="17"/>
      <c r="B35" s="17"/>
      <c r="C35" s="25" t="s">
        <v>95</v>
      </c>
      <c r="D35" s="26" t="s">
        <v>85</v>
      </c>
      <c r="E35" s="27" t="s">
        <v>47</v>
      </c>
      <c r="F35" s="27" t="s">
        <v>86</v>
      </c>
      <c r="G35" s="59" t="s">
        <v>87</v>
      </c>
      <c r="H35" s="61"/>
      <c r="I35" s="61">
        <v>1</v>
      </c>
      <c r="J35" s="35"/>
      <c r="K35" s="31" t="s">
        <v>38</v>
      </c>
      <c r="L35" s="31">
        <f t="shared" ref="L35:L37" si="18">IF(I35=0,0,MIN(1,J35/I35))</f>
        <v>0</v>
      </c>
      <c r="M35" s="36">
        <f t="shared" ref="M35:M37" si="19">IF(SUM($J$35:$J$37)=0,0,0.1/3)</f>
        <v>0</v>
      </c>
      <c r="N35" s="31">
        <f t="shared" ref="N35:N37" si="20">L35*M35</f>
        <v>0</v>
      </c>
      <c r="O35" s="26"/>
      <c r="P35" s="51"/>
      <c r="Q35" s="51"/>
      <c r="R35" s="51"/>
      <c r="T35" s="51"/>
      <c r="U35" s="51"/>
      <c r="V35" s="51"/>
      <c r="W35" s="51"/>
      <c r="X35" s="51"/>
      <c r="Y35" s="51"/>
      <c r="Z35" s="51"/>
      <c r="AA35" s="51"/>
      <c r="AB35" s="51"/>
    </row>
    <row r="36" ht="24" customHeight="1" spans="1:28">
      <c r="A36" s="17"/>
      <c r="B36" s="17"/>
      <c r="C36" s="25" t="s">
        <v>96</v>
      </c>
      <c r="D36" s="26" t="s">
        <v>89</v>
      </c>
      <c r="E36" s="27" t="s">
        <v>47</v>
      </c>
      <c r="F36" s="27" t="s">
        <v>86</v>
      </c>
      <c r="G36" s="59" t="s">
        <v>87</v>
      </c>
      <c r="H36" s="61"/>
      <c r="I36" s="61">
        <v>0.97</v>
      </c>
      <c r="J36" s="35"/>
      <c r="K36" s="31" t="s">
        <v>38</v>
      </c>
      <c r="L36" s="31">
        <f t="shared" si="18"/>
        <v>0</v>
      </c>
      <c r="M36" s="36">
        <f t="shared" si="19"/>
        <v>0</v>
      </c>
      <c r="N36" s="31">
        <f t="shared" si="20"/>
        <v>0</v>
      </c>
      <c r="O36" s="26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</row>
    <row r="37" ht="24" customHeight="1" spans="1:28">
      <c r="A37" s="17"/>
      <c r="B37" s="17"/>
      <c r="C37" s="25" t="s">
        <v>97</v>
      </c>
      <c r="D37" s="26" t="s">
        <v>91</v>
      </c>
      <c r="E37" s="27" t="s">
        <v>47</v>
      </c>
      <c r="F37" s="27" t="s">
        <v>86</v>
      </c>
      <c r="G37" s="59" t="s">
        <v>92</v>
      </c>
      <c r="H37" s="61"/>
      <c r="I37" s="61">
        <v>1</v>
      </c>
      <c r="J37" s="35"/>
      <c r="K37" s="31" t="s">
        <v>38</v>
      </c>
      <c r="L37" s="31">
        <f t="shared" si="18"/>
        <v>0</v>
      </c>
      <c r="M37" s="36">
        <f t="shared" si="19"/>
        <v>0</v>
      </c>
      <c r="N37" s="31">
        <f t="shared" si="20"/>
        <v>0</v>
      </c>
      <c r="O37" s="26" t="s">
        <v>98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</row>
    <row r="38" ht="30" customHeight="1" spans="1:28">
      <c r="A38" s="17"/>
      <c r="B38" s="17"/>
      <c r="C38" s="18" t="s">
        <v>99</v>
      </c>
      <c r="D38" s="19" t="s">
        <v>100</v>
      </c>
      <c r="E38" s="9"/>
      <c r="F38" s="9"/>
      <c r="G38" s="9"/>
      <c r="H38" s="9"/>
      <c r="I38" s="9"/>
      <c r="J38" s="9"/>
      <c r="K38" s="20"/>
      <c r="L38" s="58"/>
      <c r="M38" s="22">
        <f t="shared" ref="M38:N38" si="21">SUM(M39:M41)</f>
        <v>0.1</v>
      </c>
      <c r="N38" s="23">
        <f t="shared" si="21"/>
        <v>0</v>
      </c>
      <c r="O38" s="21" t="s">
        <v>31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 ht="24" customHeight="1" spans="1:28">
      <c r="A39" s="17"/>
      <c r="B39" s="17"/>
      <c r="C39" s="25" t="s">
        <v>101</v>
      </c>
      <c r="D39" s="26" t="s">
        <v>102</v>
      </c>
      <c r="E39" s="27" t="s">
        <v>47</v>
      </c>
      <c r="F39" s="27" t="s">
        <v>36</v>
      </c>
      <c r="G39" s="59" t="s">
        <v>103</v>
      </c>
      <c r="H39" s="61">
        <v>1</v>
      </c>
      <c r="I39" s="61">
        <v>1</v>
      </c>
      <c r="J39" s="35"/>
      <c r="K39" s="31" t="s">
        <v>38</v>
      </c>
      <c r="L39" s="31">
        <f>IF(I39=0,0,MIN(1,J39/I39))</f>
        <v>0</v>
      </c>
      <c r="M39" s="32">
        <v>0.04</v>
      </c>
      <c r="N39" s="31">
        <f t="shared" ref="N39:N41" si="22">L39*M39</f>
        <v>0</v>
      </c>
      <c r="O39" s="26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 ht="24" customHeight="1" spans="1:28">
      <c r="A40" s="17"/>
      <c r="B40" s="17"/>
      <c r="C40" s="25" t="s">
        <v>104</v>
      </c>
      <c r="D40" s="26" t="s">
        <v>105</v>
      </c>
      <c r="E40" s="27" t="s">
        <v>47</v>
      </c>
      <c r="F40" s="27" t="s">
        <v>86</v>
      </c>
      <c r="G40" s="59" t="s">
        <v>106</v>
      </c>
      <c r="H40" s="61">
        <v>0.166667</v>
      </c>
      <c r="I40" s="61">
        <v>0.05</v>
      </c>
      <c r="J40" s="35"/>
      <c r="K40" s="31" t="s">
        <v>107</v>
      </c>
      <c r="L40" s="31">
        <f>IF(J40=0,0,MIN(1,I40/J40))</f>
        <v>0</v>
      </c>
      <c r="M40" s="32">
        <v>0.03</v>
      </c>
      <c r="N40" s="31">
        <f t="shared" si="22"/>
        <v>0</v>
      </c>
      <c r="O40" s="26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</row>
    <row r="41" ht="24" customHeight="1" spans="1:28">
      <c r="A41" s="17"/>
      <c r="B41" s="17"/>
      <c r="C41" s="25" t="s">
        <v>108</v>
      </c>
      <c r="D41" s="26" t="s">
        <v>109</v>
      </c>
      <c r="E41" s="27" t="s">
        <v>47</v>
      </c>
      <c r="F41" s="27" t="s">
        <v>86</v>
      </c>
      <c r="G41" s="59" t="s">
        <v>110</v>
      </c>
      <c r="H41" s="61">
        <v>1</v>
      </c>
      <c r="I41" s="61">
        <v>1</v>
      </c>
      <c r="J41" s="35"/>
      <c r="K41" s="31" t="s">
        <v>38</v>
      </c>
      <c r="L41" s="31">
        <f>IF(I41=0,0,MIN(1,J41/I41))</f>
        <v>0</v>
      </c>
      <c r="M41" s="32">
        <v>0.03</v>
      </c>
      <c r="N41" s="31">
        <f t="shared" si="22"/>
        <v>0</v>
      </c>
      <c r="O41" s="26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</row>
    <row r="42" ht="30" customHeight="1" spans="1:28">
      <c r="A42" s="17"/>
      <c r="B42" s="17"/>
      <c r="C42" s="18" t="s">
        <v>111</v>
      </c>
      <c r="D42" s="19" t="s">
        <v>112</v>
      </c>
      <c r="E42" s="9"/>
      <c r="F42" s="9"/>
      <c r="G42" s="9"/>
      <c r="H42" s="9"/>
      <c r="I42" s="9"/>
      <c r="J42" s="9"/>
      <c r="K42" s="20"/>
      <c r="L42" s="58"/>
      <c r="M42" s="22">
        <f t="shared" ref="M42:N42" si="23">M43</f>
        <v>0.1</v>
      </c>
      <c r="N42" s="23">
        <f t="shared" si="23"/>
        <v>0</v>
      </c>
      <c r="O42" s="21" t="s">
        <v>113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</row>
    <row r="43" ht="24" customHeight="1" spans="1:28">
      <c r="A43" s="17"/>
      <c r="B43" s="17"/>
      <c r="C43" s="25" t="s">
        <v>114</v>
      </c>
      <c r="D43" s="26" t="s">
        <v>115</v>
      </c>
      <c r="E43" s="27" t="s">
        <v>116</v>
      </c>
      <c r="F43" s="27" t="s">
        <v>117</v>
      </c>
      <c r="G43" s="59" t="s">
        <v>118</v>
      </c>
      <c r="H43" s="61"/>
      <c r="I43" s="61"/>
      <c r="J43" s="35"/>
      <c r="K43" s="31" t="s">
        <v>38</v>
      </c>
      <c r="L43" s="31">
        <f>IF(I43=0,0,MIN(1,J43/I43))</f>
        <v>0</v>
      </c>
      <c r="M43" s="32">
        <v>0.1</v>
      </c>
      <c r="N43" s="31">
        <f>L43*M43</f>
        <v>0</v>
      </c>
      <c r="O43" s="26" t="s">
        <v>119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</row>
    <row r="44" ht="21.75" customHeight="1" spans="1:28">
      <c r="A44" s="17"/>
      <c r="B44" s="17"/>
      <c r="C44" s="19" t="s">
        <v>120</v>
      </c>
      <c r="D44" s="9"/>
      <c r="E44" s="9"/>
      <c r="F44" s="9"/>
      <c r="G44" s="9"/>
      <c r="H44" s="9"/>
      <c r="I44" s="9"/>
      <c r="J44" s="9"/>
      <c r="K44" s="20"/>
      <c r="L44" s="75"/>
      <c r="M44" s="22">
        <f t="shared" ref="M44:N44" si="24">M12+M15+M18+M23+M29+M38+M42</f>
        <v>1</v>
      </c>
      <c r="N44" s="23">
        <f t="shared" si="24"/>
        <v>0</v>
      </c>
      <c r="O44" s="75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</row>
    <row r="45" customHeight="1" spans="1:28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</row>
    <row r="46" customHeight="1" spans="1:28">
      <c r="A46" s="17"/>
      <c r="B46" s="17"/>
      <c r="C46" s="48" t="s">
        <v>121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</row>
    <row r="47" customHeight="1" spans="1:28">
      <c r="A47" s="17"/>
      <c r="B47" s="17"/>
      <c r="C47" s="49" t="s">
        <v>122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</row>
    <row r="48" customHeight="1" spans="1:28">
      <c r="A48" s="17"/>
      <c r="B48" s="17"/>
      <c r="C48" s="49" t="s">
        <v>123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</row>
    <row r="49" customHeight="1" spans="1:28">
      <c r="A49" s="17"/>
      <c r="B49" s="17"/>
      <c r="C49" s="49" t="s">
        <v>124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</row>
    <row r="50" customHeight="1" spans="1:28">
      <c r="A50" s="17"/>
      <c r="B50" s="17"/>
      <c r="C50" s="49" t="s">
        <v>125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</row>
    <row r="51" customHeight="1" spans="1:28">
      <c r="A51" s="17"/>
      <c r="B51" s="17"/>
      <c r="C51" s="49" t="s">
        <v>126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</row>
    <row r="52" customHeight="1" spans="1:28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</row>
    <row r="53" customHeight="1" spans="1:28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</row>
    <row r="54" customHeight="1" spans="1:28">
      <c r="A54" s="17"/>
      <c r="B54" s="17"/>
      <c r="C54" s="17"/>
      <c r="D54" s="49" t="s">
        <v>127</v>
      </c>
      <c r="E54" s="17"/>
      <c r="F54" s="17"/>
      <c r="G54" s="49" t="s">
        <v>128</v>
      </c>
      <c r="H54" s="17"/>
      <c r="I54" s="17"/>
      <c r="J54" s="17"/>
      <c r="K54" s="49" t="s">
        <v>129</v>
      </c>
      <c r="L54" s="17"/>
      <c r="M54" s="17"/>
      <c r="N54" s="17"/>
      <c r="O54" s="17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</row>
    <row r="55" customHeight="1" spans="1:28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</row>
    <row r="56" customHeight="1" spans="1:28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</row>
    <row r="57" customHeight="1" spans="1:28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</row>
    <row r="58" customHeight="1" spans="1:28">
      <c r="A58" s="17"/>
      <c r="B58" s="17"/>
      <c r="C58" s="17"/>
      <c r="D58" s="49" t="s">
        <v>130</v>
      </c>
      <c r="E58" s="17"/>
      <c r="F58" s="17"/>
      <c r="G58" s="49" t="s">
        <v>130</v>
      </c>
      <c r="H58" s="17"/>
      <c r="I58" s="17"/>
      <c r="J58" s="17"/>
      <c r="K58" s="49" t="s">
        <v>130</v>
      </c>
      <c r="L58" s="17"/>
      <c r="M58" s="17"/>
      <c r="N58" s="17"/>
      <c r="O58" s="17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</row>
    <row r="59" customHeight="1" spans="1:28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</row>
    <row r="60" customHeight="1" spans="1:28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</row>
    <row r="61" customHeight="1" spans="1:28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</row>
    <row r="62" customHeight="1" spans="1:28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</row>
    <row r="63" customHeight="1" spans="1:28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</row>
    <row r="64" customHeight="1" spans="1:28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</row>
    <row r="65" customHeight="1" spans="1:28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</row>
    <row r="66" customHeight="1" spans="1:28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</row>
    <row r="67" customHeight="1" spans="1:28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</row>
    <row r="68" customHeight="1" spans="1:2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</row>
    <row r="69" customHeight="1" spans="1:28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 customHeight="1" spans="1:28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</row>
    <row r="71" customHeight="1" spans="1:28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</row>
    <row r="72" customHeight="1" spans="1:28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</row>
    <row r="73" customHeight="1" spans="1:28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</row>
    <row r="74" customHeight="1" spans="1:28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</row>
    <row r="75" customHeight="1" spans="1:28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</row>
    <row r="76" customHeight="1" spans="1:28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</row>
    <row r="77" customHeight="1" spans="1:28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</row>
    <row r="78" customHeight="1" spans="1:2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</row>
    <row r="79" customHeight="1" spans="1:28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</row>
    <row r="80" customHeight="1" spans="1:28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</row>
    <row r="81" customHeight="1" spans="1:28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</row>
    <row r="82" customHeight="1" spans="1:28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</row>
    <row r="83" customHeight="1" spans="1:28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</row>
    <row r="84" customHeight="1" spans="1:28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</row>
    <row r="85" customHeight="1" spans="1:28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</row>
    <row r="86" customHeight="1" spans="1:28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</row>
    <row r="87" customHeight="1" spans="1:28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</row>
    <row r="88" customHeight="1" spans="1:2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</row>
    <row r="89" customHeight="1" spans="1:28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</row>
    <row r="90" customHeight="1" spans="1:28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</row>
    <row r="91" customHeight="1" spans="1:28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</row>
    <row r="92" customHeight="1" spans="1:28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</row>
    <row r="93" customHeight="1" spans="1:28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</row>
    <row r="94" customHeight="1" spans="1:28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</row>
    <row r="95" customHeight="1" spans="1:28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</row>
    <row r="96" customHeight="1" spans="1:28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</row>
    <row r="97" customHeight="1" spans="1:28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</row>
    <row r="98" customHeight="1" spans="1:2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</row>
    <row r="99" customHeight="1" spans="1:28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</row>
    <row r="100" customHeight="1" spans="1:28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</row>
    <row r="101" customHeight="1" spans="1:28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</row>
    <row r="102" customHeight="1" spans="1:28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</row>
    <row r="103" customHeight="1" spans="1:28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</row>
    <row r="104" customHeight="1" spans="1:28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</row>
    <row r="105" customHeight="1" spans="1:28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</row>
    <row r="106" customHeight="1" spans="1:28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</row>
    <row r="107" customHeight="1" spans="1:28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</row>
    <row r="108" customHeight="1" spans="1:2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</row>
    <row r="109" customHeight="1" spans="1:28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</row>
    <row r="110" customHeight="1" spans="1:28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</row>
    <row r="111" customHeight="1" spans="1:28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customHeight="1" spans="1:28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</row>
    <row r="113" customHeight="1" spans="1:28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</row>
    <row r="114" customHeight="1" spans="1:28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</row>
    <row r="115" customHeight="1" spans="1:28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 customHeight="1" spans="1:28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</row>
    <row r="117" customHeight="1" spans="1:28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</row>
    <row r="118" customHeight="1" spans="1:2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</row>
    <row r="119" customHeight="1" spans="1:28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</row>
    <row r="120" customHeight="1" spans="1:28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</row>
    <row r="121" customHeight="1" spans="1:28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</row>
    <row r="122" customHeight="1" spans="1:28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</row>
    <row r="123" customHeight="1" spans="1:28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</row>
    <row r="124" customHeight="1" spans="1:28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</row>
    <row r="125" customHeight="1" spans="1:28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</row>
    <row r="126" customHeight="1" spans="1:28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</row>
    <row r="127" customHeight="1" spans="1:28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</row>
    <row r="128" customHeight="1" spans="1: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</row>
    <row r="129" customHeight="1" spans="1:28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</row>
    <row r="130" customHeight="1" spans="1:28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</row>
    <row r="131" customHeight="1" spans="1:28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</row>
    <row r="132" customHeight="1" spans="1:28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</row>
    <row r="133" customHeight="1" spans="1:28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</row>
    <row r="134" customHeight="1" spans="1:28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</row>
    <row r="135" customHeight="1" spans="1:28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</row>
    <row r="136" customHeight="1" spans="1:28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</row>
    <row r="137" customHeight="1" spans="1:28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</row>
    <row r="138" customHeight="1" spans="1:2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</row>
    <row r="139" customHeight="1" spans="1:28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</row>
    <row r="140" customHeight="1" spans="1:28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</row>
    <row r="141" customHeight="1" spans="1:28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</row>
    <row r="142" customHeight="1" spans="1:28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</row>
    <row r="143" customHeight="1" spans="1:28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</row>
    <row r="144" customHeight="1" spans="1:28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</row>
    <row r="145" customHeight="1" spans="1:28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</row>
    <row r="146" customHeight="1" spans="1:28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</row>
    <row r="147" customHeight="1" spans="1:28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</row>
    <row r="148" customHeight="1" spans="1:2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</row>
    <row r="149" customHeight="1" spans="1:28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</row>
    <row r="150" customHeight="1" spans="1:28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</row>
    <row r="151" customHeight="1" spans="1:28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</row>
    <row r="152" customHeight="1" spans="1:28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</row>
    <row r="153" customHeight="1" spans="1:28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</row>
    <row r="154" customHeight="1" spans="1:28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</row>
    <row r="155" customHeight="1" spans="1:28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</row>
    <row r="156" customHeight="1" spans="1:28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</row>
    <row r="157" customHeight="1" spans="1:28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</row>
    <row r="158" customHeight="1" spans="1:2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</row>
    <row r="159" customHeight="1" spans="1:28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</row>
    <row r="160" customHeight="1" spans="1:28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</row>
    <row r="161" customHeight="1" spans="1:28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</row>
    <row r="162" customHeight="1" spans="1:28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</row>
    <row r="163" customHeight="1" spans="1:28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</row>
    <row r="164" customHeight="1" spans="1:28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</row>
    <row r="165" customHeight="1" spans="1:28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</row>
    <row r="166" customHeight="1" spans="1:28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</row>
    <row r="167" customHeight="1" spans="1:28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</row>
    <row r="168" customHeight="1" spans="1:2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</row>
    <row r="169" customHeight="1" spans="1:28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</row>
    <row r="170" customHeight="1" spans="1:28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</row>
    <row r="171" customHeight="1" spans="1:28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</row>
    <row r="172" customHeight="1" spans="1:28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</row>
    <row r="173" customHeight="1" spans="1:28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</row>
    <row r="174" customHeight="1" spans="1:28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</row>
    <row r="175" customHeight="1" spans="1:28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</row>
    <row r="176" customHeight="1" spans="1:28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</row>
    <row r="177" customHeight="1" spans="1:28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</row>
    <row r="178" customHeight="1" spans="1:2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</row>
    <row r="179" customHeight="1" spans="1:28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</row>
    <row r="180" customHeight="1" spans="1:28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</row>
    <row r="181" customHeight="1" spans="1:28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</row>
    <row r="182" customHeight="1" spans="1:28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</row>
    <row r="183" customHeight="1" spans="1:28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</row>
    <row r="184" customHeight="1" spans="1:28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</row>
    <row r="185" customHeight="1" spans="1:28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</row>
    <row r="186" customHeight="1" spans="1:28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</row>
    <row r="187" customHeight="1" spans="1:28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</row>
    <row r="188" customHeight="1" spans="1:2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</row>
    <row r="189" customHeight="1" spans="1:28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</row>
    <row r="190" customHeight="1" spans="1:28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</row>
    <row r="191" customHeight="1" spans="1:28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</row>
    <row r="192" customHeight="1" spans="1:28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</row>
    <row r="193" customHeight="1" spans="1:28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</row>
    <row r="194" customHeight="1" spans="1:28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</row>
    <row r="195" customHeight="1" spans="1:28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</row>
    <row r="196" customHeight="1" spans="1:28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</row>
    <row r="197" customHeight="1" spans="1:28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</row>
    <row r="198" customHeight="1" spans="1:2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</row>
    <row r="199" customHeight="1" spans="1:28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</row>
    <row r="200" customHeight="1" spans="1:28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</row>
    <row r="201" customHeight="1" spans="1:28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</row>
    <row r="202" customHeight="1" spans="1:28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</row>
    <row r="203" customHeight="1" spans="1:28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</row>
    <row r="204" customHeight="1" spans="1:28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</row>
    <row r="205" customHeight="1" spans="1:28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</row>
    <row r="206" customHeight="1" spans="1:28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</row>
    <row r="207" customHeight="1" spans="1:28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</row>
    <row r="208" customHeight="1" spans="1:2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</row>
    <row r="209" customHeight="1" spans="1:28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</row>
    <row r="210" customHeight="1" spans="1:28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</row>
    <row r="211" customHeight="1" spans="1:28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</row>
    <row r="212" customHeight="1" spans="1:28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</row>
    <row r="213" customHeight="1" spans="1:28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</row>
    <row r="214" customHeight="1" spans="1:28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</row>
    <row r="215" customHeight="1" spans="1:28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</row>
    <row r="216" customHeight="1" spans="1:28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</row>
    <row r="217" customHeight="1" spans="1:28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</row>
    <row r="218" customHeight="1" spans="1:2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</row>
    <row r="219" customHeight="1" spans="1:28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</row>
    <row r="220" customHeight="1" spans="1:28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</row>
    <row r="221" customHeight="1" spans="1:28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</row>
    <row r="222" customHeight="1" spans="1:28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</row>
    <row r="223" customHeight="1" spans="1:28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</row>
    <row r="224" customHeight="1" spans="1:28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</row>
    <row r="225" customHeight="1" spans="1:28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</row>
    <row r="226" customHeight="1" spans="1:28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</row>
    <row r="227" customHeight="1" spans="1:28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</row>
    <row r="228" customHeight="1" spans="1: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</row>
    <row r="229" customHeight="1" spans="1:28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</row>
    <row r="230" customHeight="1" spans="1:28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</row>
    <row r="231" customHeight="1" spans="1:28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</row>
    <row r="232" customHeight="1" spans="1:28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</row>
    <row r="233" customHeight="1" spans="1:28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</row>
    <row r="234" customHeight="1" spans="1:28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</row>
    <row r="235" customHeight="1" spans="1:28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</row>
    <row r="236" customHeight="1" spans="1:28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</row>
    <row r="237" customHeight="1" spans="1:28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</row>
    <row r="238" customHeight="1" spans="1:2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</row>
    <row r="239" customHeight="1" spans="1:28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</row>
    <row r="240" customHeight="1" spans="1:28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</row>
    <row r="241" customHeight="1" spans="1:28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</row>
    <row r="242" customHeight="1" spans="1:28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</row>
    <row r="243" customHeight="1" spans="1:28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</row>
    <row r="244" customHeight="1" spans="1:28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</row>
    <row r="245" customHeight="1" spans="1:28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</row>
    <row r="246" customHeight="1" spans="1:28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</row>
    <row r="247" customHeight="1" spans="1:28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</row>
    <row r="248" customHeight="1" spans="1:2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C3:O3"/>
    <mergeCell ref="C4:O4"/>
    <mergeCell ref="C5:O5"/>
    <mergeCell ref="C7:D7"/>
    <mergeCell ref="E7:I7"/>
    <mergeCell ref="J7:K7"/>
    <mergeCell ref="L7:O7"/>
    <mergeCell ref="C8:D8"/>
    <mergeCell ref="E8:I8"/>
    <mergeCell ref="J8:K8"/>
    <mergeCell ref="L8:O8"/>
    <mergeCell ref="C9:D9"/>
    <mergeCell ref="E9:I9"/>
    <mergeCell ref="J9:K9"/>
    <mergeCell ref="D12:K12"/>
    <mergeCell ref="D15:K15"/>
    <mergeCell ref="D18:K18"/>
    <mergeCell ref="D23:K23"/>
    <mergeCell ref="D29:K29"/>
    <mergeCell ref="D30:K30"/>
    <mergeCell ref="D34:K34"/>
    <mergeCell ref="D38:K38"/>
    <mergeCell ref="D42:K42"/>
    <mergeCell ref="C44:K44"/>
  </mergeCells>
  <dataValidations count="1">
    <dataValidation type="list" allowBlank="1" sqref="L9">
      <formula1>"Agustus,September,Oktober,November,Desember"</formula1>
    </dataValidation>
  </dataValidations>
  <pageMargins left="1" right="1" top="0.75" bottom="0.75" header="0" footer="0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102E"/>
  </sheetPr>
  <dimension ref="A1:AA1000"/>
  <sheetViews>
    <sheetView showGridLines="0" tabSelected="1" topLeftCell="A18" workbookViewId="0">
      <pane xSplit="1" topLeftCell="B1" activePane="topRight" state="frozen"/>
      <selection/>
      <selection pane="topRight" activeCell="F46" sqref="F46"/>
    </sheetView>
  </sheetViews>
  <sheetFormatPr defaultColWidth="14.4272727272727" defaultRowHeight="15" customHeight="1"/>
  <cols>
    <col min="1" max="1" width="2" customWidth="1"/>
    <col min="2" max="2" width="5" customWidth="1"/>
    <col min="3" max="3" width="42" customWidth="1"/>
    <col min="4" max="4" width="8" customWidth="1"/>
    <col min="5" max="5" width="10" customWidth="1"/>
    <col min="6" max="6" width="22" customWidth="1"/>
    <col min="7" max="8" width="15.4272727272727" customWidth="1"/>
    <col min="9" max="9" width="12" customWidth="1"/>
    <col min="10" max="10" width="9" customWidth="1"/>
    <col min="11" max="11" width="21" customWidth="1"/>
    <col min="12" max="12" width="11.4272727272727" customWidth="1"/>
    <col min="13" max="13" width="10" customWidth="1"/>
    <col min="14" max="14" width="26" customWidth="1"/>
    <col min="15" max="17" width="8.70909090909091" customWidth="1"/>
    <col min="18" max="18" width="13" customWidth="1"/>
    <col min="19" max="19" width="14.2909090909091" customWidth="1"/>
    <col min="20" max="20" width="13.1363636363636" customWidth="1"/>
    <col min="21" max="27" width="8.70909090909091" customWidth="1"/>
  </cols>
  <sheetData>
    <row r="1" customHeight="1" spans="1:27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7.75" customHeight="1" spans="1:27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Height="1" spans="1:27">
      <c r="A3" s="1"/>
      <c r="B3" s="5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8" customHeight="1" spans="1:27">
      <c r="A4" s="1"/>
      <c r="B4" s="6" t="s">
        <v>131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customHeight="1" spans="1:27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customHeight="1" spans="1:27">
      <c r="A6" s="1"/>
      <c r="B6" s="8" t="s">
        <v>3</v>
      </c>
      <c r="C6" s="9"/>
      <c r="D6" s="10"/>
      <c r="E6" s="9"/>
      <c r="F6" s="9"/>
      <c r="G6" s="9"/>
      <c r="H6" s="9"/>
      <c r="I6" s="8" t="s">
        <v>4</v>
      </c>
      <c r="J6" s="9"/>
      <c r="K6" s="10" t="s">
        <v>132</v>
      </c>
      <c r="L6" s="9"/>
      <c r="M6" s="9"/>
      <c r="N6" s="9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customHeight="1" spans="1:27">
      <c r="A7" s="1"/>
      <c r="B7" s="8" t="s">
        <v>6</v>
      </c>
      <c r="C7" s="9"/>
      <c r="D7" s="10"/>
      <c r="E7" s="9"/>
      <c r="F7" s="9"/>
      <c r="G7" s="9"/>
      <c r="H7" s="9"/>
      <c r="I7" s="8" t="s">
        <v>7</v>
      </c>
      <c r="J7" s="9"/>
      <c r="K7" s="10"/>
      <c r="L7" s="9"/>
      <c r="M7" s="9"/>
      <c r="N7" s="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customHeight="1" spans="1:27">
      <c r="A8" s="1"/>
      <c r="B8" s="8" t="s">
        <v>8</v>
      </c>
      <c r="C8" s="9"/>
      <c r="D8" s="10"/>
      <c r="E8" s="9"/>
      <c r="F8" s="9"/>
      <c r="G8" s="9"/>
      <c r="H8" s="9"/>
      <c r="I8" s="11" t="s">
        <v>9</v>
      </c>
      <c r="J8" s="9"/>
      <c r="K8" s="12" t="s">
        <v>10</v>
      </c>
      <c r="L8" s="13">
        <v>2026</v>
      </c>
      <c r="M8" s="14"/>
      <c r="N8" s="1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customHeight="1" spans="1:27">
      <c r="A9" s="1"/>
      <c r="B9" s="1"/>
      <c r="C9" s="1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39.75" customHeight="1" spans="1:27">
      <c r="A10" s="1"/>
      <c r="B10" s="15" t="s">
        <v>12</v>
      </c>
      <c r="C10" s="15" t="s">
        <v>13</v>
      </c>
      <c r="D10" s="15" t="s">
        <v>14</v>
      </c>
      <c r="E10" s="15" t="s">
        <v>15</v>
      </c>
      <c r="F10" s="15" t="s">
        <v>16</v>
      </c>
      <c r="G10" s="15" t="s">
        <v>17</v>
      </c>
      <c r="H10" s="15" t="s">
        <v>18</v>
      </c>
      <c r="I10" s="15" t="s">
        <v>19</v>
      </c>
      <c r="J10" s="15" t="s">
        <v>20</v>
      </c>
      <c r="K10" s="15" t="s">
        <v>21</v>
      </c>
      <c r="L10" s="15" t="s">
        <v>22</v>
      </c>
      <c r="M10" s="15" t="s">
        <v>23</v>
      </c>
      <c r="N10" s="15" t="s">
        <v>24</v>
      </c>
      <c r="O10" s="1"/>
      <c r="P10" s="1"/>
      <c r="Q10" s="16" t="s">
        <v>11</v>
      </c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30" customHeight="1" spans="1:27">
      <c r="A11" s="17"/>
      <c r="B11" s="18" t="s">
        <v>29</v>
      </c>
      <c r="C11" s="19" t="s">
        <v>30</v>
      </c>
      <c r="D11" s="9"/>
      <c r="E11" s="9"/>
      <c r="F11" s="9"/>
      <c r="G11" s="9"/>
      <c r="H11" s="9"/>
      <c r="I11" s="9"/>
      <c r="J11" s="20"/>
      <c r="K11" s="21"/>
      <c r="L11" s="22">
        <f t="shared" ref="L11:M11" si="0">L12+L13+L14</f>
        <v>0.3</v>
      </c>
      <c r="M11" s="23">
        <f t="shared" si="0"/>
        <v>0</v>
      </c>
      <c r="N11" s="21" t="s">
        <v>31</v>
      </c>
      <c r="O11" s="1"/>
      <c r="P11" s="1"/>
      <c r="Q11" s="24" t="s">
        <v>25</v>
      </c>
      <c r="R11" s="24" t="s">
        <v>26</v>
      </c>
      <c r="S11" s="24" t="s">
        <v>27</v>
      </c>
      <c r="T11" s="24" t="s">
        <v>28</v>
      </c>
      <c r="U11" s="1"/>
      <c r="V11" s="1"/>
      <c r="W11" s="1"/>
      <c r="X11" s="1"/>
      <c r="Y11" s="1"/>
      <c r="Z11" s="1"/>
      <c r="AA11" s="1"/>
    </row>
    <row r="12" ht="24" customHeight="1" spans="1:27">
      <c r="A12" s="17"/>
      <c r="B12" s="25" t="s">
        <v>33</v>
      </c>
      <c r="C12" s="26" t="s">
        <v>34</v>
      </c>
      <c r="D12" s="27" t="s">
        <v>35</v>
      </c>
      <c r="E12" s="27" t="s">
        <v>36</v>
      </c>
      <c r="F12" s="28" t="s">
        <v>37</v>
      </c>
      <c r="G12" s="29">
        <v>33880000000</v>
      </c>
      <c r="H12" s="29">
        <f t="array" ref="H12">IFERROR(INDEX($R$12:$R$16,MATCH($K$8,$Q$12:$Q$16,0)),"")</f>
        <v>37211714638</v>
      </c>
      <c r="I12" s="30"/>
      <c r="J12" s="27" t="s">
        <v>38</v>
      </c>
      <c r="K12" s="31">
        <f t="shared" ref="K12:K14" si="1">IF(H12=0,0,MIN(1,I12/H12))</f>
        <v>0</v>
      </c>
      <c r="L12" s="32">
        <v>0.05</v>
      </c>
      <c r="M12" s="31">
        <f t="shared" ref="M12:M14" si="2">K12*L12</f>
        <v>0</v>
      </c>
      <c r="N12" s="26"/>
      <c r="O12" s="1"/>
      <c r="P12" s="1"/>
      <c r="Q12" s="33" t="s">
        <v>32</v>
      </c>
      <c r="R12" s="34">
        <v>38957580596</v>
      </c>
      <c r="S12" s="34">
        <v>10743141381</v>
      </c>
      <c r="T12" s="34">
        <v>14934644543</v>
      </c>
      <c r="U12" s="1"/>
      <c r="V12" s="1"/>
      <c r="W12" s="1"/>
      <c r="X12" s="1"/>
      <c r="Y12" s="1"/>
      <c r="Z12" s="1"/>
      <c r="AA12" s="1"/>
    </row>
    <row r="13" ht="24" customHeight="1" spans="1:27">
      <c r="A13" s="17"/>
      <c r="B13" s="25" t="s">
        <v>39</v>
      </c>
      <c r="C13" s="26" t="s">
        <v>40</v>
      </c>
      <c r="D13" s="27" t="s">
        <v>35</v>
      </c>
      <c r="E13" s="27" t="s">
        <v>36</v>
      </c>
      <c r="F13" s="28" t="s">
        <v>37</v>
      </c>
      <c r="G13" s="29"/>
      <c r="H13" s="29">
        <f t="array" ref="H13">IFERROR(INDEX($S$12:$S$16,MATCH($K$8,$Q$12:$Q$16,0)),"")</f>
        <v>10261692468</v>
      </c>
      <c r="I13" s="30"/>
      <c r="J13" s="27" t="s">
        <v>38</v>
      </c>
      <c r="K13" s="31">
        <f t="shared" si="1"/>
        <v>0</v>
      </c>
      <c r="L13" s="32">
        <v>0.1</v>
      </c>
      <c r="M13" s="31">
        <f t="shared" si="2"/>
        <v>0</v>
      </c>
      <c r="N13" s="26"/>
      <c r="O13" s="1"/>
      <c r="P13" s="1"/>
      <c r="Q13" s="33" t="s">
        <v>10</v>
      </c>
      <c r="R13" s="34">
        <v>37211714638</v>
      </c>
      <c r="S13" s="34">
        <v>10261692468</v>
      </c>
      <c r="T13" s="34">
        <v>14265355354</v>
      </c>
      <c r="U13" s="1"/>
      <c r="V13" s="1"/>
      <c r="W13" s="1"/>
      <c r="X13" s="1"/>
      <c r="Y13" s="1"/>
      <c r="Z13" s="1"/>
      <c r="AA13" s="1"/>
    </row>
    <row r="14" ht="24" customHeight="1" spans="1:27">
      <c r="A14" s="17"/>
      <c r="B14" s="25" t="s">
        <v>133</v>
      </c>
      <c r="C14" s="26" t="s">
        <v>134</v>
      </c>
      <c r="D14" s="27" t="s">
        <v>35</v>
      </c>
      <c r="E14" s="27" t="s">
        <v>36</v>
      </c>
      <c r="F14" s="28" t="s">
        <v>37</v>
      </c>
      <c r="G14" s="29"/>
      <c r="H14" s="29">
        <f t="array" ref="H14">IFERROR(INDEX($T$12:$T$16,MATCH($K$8,$Q$12:$Q$16,0)),"")</f>
        <v>14265355354</v>
      </c>
      <c r="I14" s="30"/>
      <c r="J14" s="27" t="s">
        <v>38</v>
      </c>
      <c r="K14" s="31">
        <f t="shared" si="1"/>
        <v>0</v>
      </c>
      <c r="L14" s="32">
        <v>0.15</v>
      </c>
      <c r="M14" s="31">
        <f t="shared" si="2"/>
        <v>0</v>
      </c>
      <c r="N14" s="26"/>
      <c r="O14" s="1"/>
      <c r="P14" s="1"/>
      <c r="Q14" s="33" t="s">
        <v>41</v>
      </c>
      <c r="R14" s="34">
        <v>38203580376</v>
      </c>
      <c r="S14" s="34">
        <v>10535214430</v>
      </c>
      <c r="T14" s="34">
        <v>14645593603</v>
      </c>
      <c r="U14" s="1"/>
      <c r="V14" s="1"/>
      <c r="W14" s="1"/>
      <c r="X14" s="1"/>
      <c r="Y14" s="1"/>
      <c r="Z14" s="1"/>
      <c r="AA14" s="1"/>
    </row>
    <row r="15" ht="30" customHeight="1" spans="1:27">
      <c r="A15" s="17"/>
      <c r="B15" s="18" t="s">
        <v>42</v>
      </c>
      <c r="C15" s="19" t="s">
        <v>135</v>
      </c>
      <c r="D15" s="9"/>
      <c r="E15" s="9"/>
      <c r="F15" s="9"/>
      <c r="G15" s="9"/>
      <c r="H15" s="9"/>
      <c r="I15" s="9"/>
      <c r="J15" s="20"/>
      <c r="K15" s="21"/>
      <c r="L15" s="22">
        <f t="shared" ref="L15:M15" si="3">L16+L17</f>
        <v>0.15</v>
      </c>
      <c r="M15" s="23">
        <f t="shared" si="3"/>
        <v>0</v>
      </c>
      <c r="N15" s="21" t="s">
        <v>31</v>
      </c>
      <c r="O15" s="1"/>
      <c r="P15" s="1"/>
      <c r="Q15" s="33" t="s">
        <v>44</v>
      </c>
      <c r="R15" s="34">
        <v>40036332419</v>
      </c>
      <c r="S15" s="34">
        <v>11040623493</v>
      </c>
      <c r="T15" s="34">
        <v>15348191144</v>
      </c>
      <c r="U15" s="1"/>
      <c r="V15" s="1"/>
      <c r="W15" s="1"/>
      <c r="X15" s="1"/>
      <c r="Y15" s="1"/>
      <c r="Z15" s="1"/>
      <c r="AA15" s="1"/>
    </row>
    <row r="16" ht="24" customHeight="1" spans="1:27">
      <c r="A16" s="17"/>
      <c r="B16" s="25" t="s">
        <v>45</v>
      </c>
      <c r="C16" s="26" t="s">
        <v>136</v>
      </c>
      <c r="D16" s="27" t="s">
        <v>47</v>
      </c>
      <c r="E16" s="27" t="s">
        <v>36</v>
      </c>
      <c r="F16" s="28" t="s">
        <v>137</v>
      </c>
      <c r="G16" s="31"/>
      <c r="H16" s="31">
        <v>0.15</v>
      </c>
      <c r="I16" s="35"/>
      <c r="J16" s="27" t="s">
        <v>38</v>
      </c>
      <c r="K16" s="31">
        <f t="shared" ref="K16:K17" si="4">IF(H16=0,0,MIN(1,I16/H16))</f>
        <v>0</v>
      </c>
      <c r="L16" s="32">
        <v>0.05</v>
      </c>
      <c r="M16" s="31">
        <f t="shared" ref="M16:M17" si="5">K16*L16</f>
        <v>0</v>
      </c>
      <c r="N16" s="26" t="s">
        <v>138</v>
      </c>
      <c r="O16" s="1"/>
      <c r="P16" s="1"/>
      <c r="Q16" s="33" t="s">
        <v>50</v>
      </c>
      <c r="R16" s="34">
        <v>47400065620</v>
      </c>
      <c r="S16" s="34">
        <v>13071284167</v>
      </c>
      <c r="T16" s="34">
        <v>18171126659</v>
      </c>
      <c r="U16" s="1"/>
      <c r="V16" s="1"/>
      <c r="W16" s="1"/>
      <c r="X16" s="1"/>
      <c r="Y16" s="1"/>
      <c r="Z16" s="1"/>
      <c r="AA16" s="1"/>
    </row>
    <row r="17" ht="24" customHeight="1" spans="1:27">
      <c r="A17" s="17"/>
      <c r="B17" s="25" t="s">
        <v>51</v>
      </c>
      <c r="C17" s="26" t="s">
        <v>139</v>
      </c>
      <c r="D17" s="27" t="s">
        <v>47</v>
      </c>
      <c r="E17" s="27" t="s">
        <v>36</v>
      </c>
      <c r="F17" s="28" t="s">
        <v>137</v>
      </c>
      <c r="G17" s="31"/>
      <c r="H17" s="31">
        <v>0.3</v>
      </c>
      <c r="I17" s="35"/>
      <c r="J17" s="27" t="s">
        <v>38</v>
      </c>
      <c r="K17" s="31">
        <f t="shared" si="4"/>
        <v>0</v>
      </c>
      <c r="L17" s="32">
        <v>0.1</v>
      </c>
      <c r="M17" s="31">
        <f t="shared" si="5"/>
        <v>0</v>
      </c>
      <c r="N17" s="26" t="s">
        <v>140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30" customHeight="1" spans="1:27">
      <c r="A18" s="17"/>
      <c r="B18" s="18" t="s">
        <v>55</v>
      </c>
      <c r="C18" s="19" t="s">
        <v>141</v>
      </c>
      <c r="D18" s="9"/>
      <c r="E18" s="9"/>
      <c r="F18" s="9"/>
      <c r="G18" s="9"/>
      <c r="H18" s="9"/>
      <c r="I18" s="9"/>
      <c r="J18" s="20"/>
      <c r="K18" s="21"/>
      <c r="L18" s="22">
        <f t="shared" ref="L18:M18" si="6">SUM(L19:L22)</f>
        <v>0.1</v>
      </c>
      <c r="M18" s="23">
        <f t="shared" si="6"/>
        <v>0</v>
      </c>
      <c r="N18" s="21" t="s">
        <v>31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" customHeight="1" spans="1:27">
      <c r="A19" s="17"/>
      <c r="B19" s="25" t="s">
        <v>57</v>
      </c>
      <c r="C19" s="26" t="s">
        <v>142</v>
      </c>
      <c r="D19" s="27" t="s">
        <v>143</v>
      </c>
      <c r="E19" s="27" t="s">
        <v>36</v>
      </c>
      <c r="F19" s="28" t="s">
        <v>144</v>
      </c>
      <c r="G19" s="29">
        <v>4.93</v>
      </c>
      <c r="H19" s="29">
        <v>5.5</v>
      </c>
      <c r="I19" s="30"/>
      <c r="J19" s="27" t="s">
        <v>38</v>
      </c>
      <c r="K19" s="31">
        <f t="shared" ref="K19:K22" si="7">IF(H19=0,0,MIN(1,I19/H19))</f>
        <v>0</v>
      </c>
      <c r="L19" s="36">
        <v>0.02</v>
      </c>
      <c r="M19" s="31">
        <f t="shared" ref="M19:M22" si="8">K19*L19</f>
        <v>0</v>
      </c>
      <c r="N19" s="2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" customHeight="1" spans="1:27">
      <c r="A20" s="17"/>
      <c r="B20" s="25" t="s">
        <v>60</v>
      </c>
      <c r="C20" s="26" t="s">
        <v>145</v>
      </c>
      <c r="D20" s="27" t="s">
        <v>143</v>
      </c>
      <c r="E20" s="27" t="s">
        <v>36</v>
      </c>
      <c r="F20" s="28" t="s">
        <v>144</v>
      </c>
      <c r="G20" s="29">
        <v>1.65</v>
      </c>
      <c r="H20" s="29">
        <v>2</v>
      </c>
      <c r="I20" s="30"/>
      <c r="J20" s="27" t="s">
        <v>38</v>
      </c>
      <c r="K20" s="31">
        <f t="shared" si="7"/>
        <v>0</v>
      </c>
      <c r="L20" s="36">
        <v>0.0266666666666667</v>
      </c>
      <c r="M20" s="31">
        <f t="shared" si="8"/>
        <v>0</v>
      </c>
      <c r="N20" s="2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" customHeight="1" spans="1:27">
      <c r="A21" s="17"/>
      <c r="B21" s="25" t="s">
        <v>62</v>
      </c>
      <c r="C21" s="26" t="s">
        <v>146</v>
      </c>
      <c r="D21" s="27" t="s">
        <v>143</v>
      </c>
      <c r="E21" s="27" t="s">
        <v>36</v>
      </c>
      <c r="F21" s="28" t="s">
        <v>144</v>
      </c>
      <c r="G21" s="29">
        <v>1.17</v>
      </c>
      <c r="H21" s="29">
        <v>1.75</v>
      </c>
      <c r="I21" s="30"/>
      <c r="J21" s="27" t="s">
        <v>38</v>
      </c>
      <c r="K21" s="31">
        <f t="shared" si="7"/>
        <v>0</v>
      </c>
      <c r="L21" s="36">
        <v>0.0266666666666667</v>
      </c>
      <c r="M21" s="31">
        <f t="shared" si="8"/>
        <v>0</v>
      </c>
      <c r="N21" s="2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" customHeight="1" spans="1:27">
      <c r="A22" s="17"/>
      <c r="B22" s="25" t="s">
        <v>64</v>
      </c>
      <c r="C22" s="26" t="s">
        <v>147</v>
      </c>
      <c r="D22" s="27" t="s">
        <v>143</v>
      </c>
      <c r="E22" s="27" t="s">
        <v>36</v>
      </c>
      <c r="F22" s="28" t="s">
        <v>144</v>
      </c>
      <c r="G22" s="29">
        <v>1.055</v>
      </c>
      <c r="H22" s="29">
        <v>1.75</v>
      </c>
      <c r="I22" s="30"/>
      <c r="J22" s="27" t="s">
        <v>38</v>
      </c>
      <c r="K22" s="31">
        <f t="shared" si="7"/>
        <v>0</v>
      </c>
      <c r="L22" s="36">
        <v>0.0266666666666667</v>
      </c>
      <c r="M22" s="31">
        <f t="shared" si="8"/>
        <v>0</v>
      </c>
      <c r="N22" s="2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30" customHeight="1" spans="1:27">
      <c r="A23" s="17"/>
      <c r="B23" s="18" t="s">
        <v>66</v>
      </c>
      <c r="C23" s="19" t="s">
        <v>148</v>
      </c>
      <c r="D23" s="9"/>
      <c r="E23" s="9"/>
      <c r="F23" s="9"/>
      <c r="G23" s="9"/>
      <c r="H23" s="9"/>
      <c r="I23" s="9"/>
      <c r="J23" s="20"/>
      <c r="K23" s="21"/>
      <c r="L23" s="22">
        <f t="shared" ref="L23:M23" si="9">SUM(L24:L28)</f>
        <v>0.1</v>
      </c>
      <c r="M23" s="23">
        <f t="shared" si="9"/>
        <v>0</v>
      </c>
      <c r="N23" s="21" t="s">
        <v>31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" customHeight="1" spans="1:27">
      <c r="A24" s="17"/>
      <c r="B24" s="25" t="s">
        <v>68</v>
      </c>
      <c r="C24" s="37" t="s">
        <v>149</v>
      </c>
      <c r="D24" s="27" t="s">
        <v>150</v>
      </c>
      <c r="E24" s="27" t="s">
        <v>36</v>
      </c>
      <c r="F24" s="28" t="s">
        <v>151</v>
      </c>
      <c r="G24" s="29">
        <v>147000</v>
      </c>
      <c r="H24" s="29">
        <v>300000</v>
      </c>
      <c r="I24" s="30"/>
      <c r="J24" s="27" t="s">
        <v>38</v>
      </c>
      <c r="K24" s="31">
        <f t="shared" ref="K24:K28" si="10">IF(H24=0,0,MIN(1,I24/H24))</f>
        <v>0</v>
      </c>
      <c r="L24" s="38">
        <v>0.03</v>
      </c>
      <c r="M24" s="31">
        <f t="shared" ref="M24:M28" si="11">K24*L24</f>
        <v>0</v>
      </c>
      <c r="N24" s="2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" customHeight="1" spans="1:27">
      <c r="A25" s="17"/>
      <c r="B25" s="25" t="s">
        <v>71</v>
      </c>
      <c r="C25" s="37" t="s">
        <v>152</v>
      </c>
      <c r="D25" s="27" t="s">
        <v>47</v>
      </c>
      <c r="E25" s="27" t="s">
        <v>36</v>
      </c>
      <c r="F25" s="28" t="s">
        <v>153</v>
      </c>
      <c r="G25" s="31">
        <v>0.056</v>
      </c>
      <c r="H25" s="31">
        <v>0.06</v>
      </c>
      <c r="I25" s="35"/>
      <c r="J25" s="27" t="s">
        <v>38</v>
      </c>
      <c r="K25" s="31">
        <f t="shared" si="10"/>
        <v>0</v>
      </c>
      <c r="L25" s="32">
        <v>0.02</v>
      </c>
      <c r="M25" s="31">
        <f t="shared" si="11"/>
        <v>0</v>
      </c>
      <c r="N25" s="2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" customHeight="1" spans="1:27">
      <c r="A26" s="17"/>
      <c r="B26" s="25" t="s">
        <v>73</v>
      </c>
      <c r="C26" s="37" t="s">
        <v>154</v>
      </c>
      <c r="D26" s="27" t="s">
        <v>155</v>
      </c>
      <c r="E26" s="27" t="s">
        <v>36</v>
      </c>
      <c r="F26" s="28" t="s">
        <v>156</v>
      </c>
      <c r="G26" s="29">
        <v>72</v>
      </c>
      <c r="H26" s="29">
        <v>100</v>
      </c>
      <c r="I26" s="30"/>
      <c r="J26" s="27" t="s">
        <v>38</v>
      </c>
      <c r="K26" s="31">
        <f t="shared" si="10"/>
        <v>0</v>
      </c>
      <c r="L26" s="38">
        <v>0.02</v>
      </c>
      <c r="M26" s="31">
        <f t="shared" si="11"/>
        <v>0</v>
      </c>
      <c r="N26" s="2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" customHeight="1" spans="1:27">
      <c r="A27" s="17"/>
      <c r="B27" s="25" t="s">
        <v>75</v>
      </c>
      <c r="C27" s="37" t="s">
        <v>157</v>
      </c>
      <c r="D27" s="27" t="s">
        <v>158</v>
      </c>
      <c r="E27" s="27" t="s">
        <v>36</v>
      </c>
      <c r="F27" s="28" t="s">
        <v>159</v>
      </c>
      <c r="G27" s="29">
        <v>136</v>
      </c>
      <c r="H27" s="29">
        <v>250</v>
      </c>
      <c r="I27" s="30"/>
      <c r="J27" s="27" t="s">
        <v>38</v>
      </c>
      <c r="K27" s="31">
        <f t="shared" si="10"/>
        <v>0</v>
      </c>
      <c r="L27" s="38">
        <v>0.02</v>
      </c>
      <c r="M27" s="31">
        <f t="shared" si="11"/>
        <v>0</v>
      </c>
      <c r="N27" s="2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" customHeight="1" spans="1:27">
      <c r="A28" s="17"/>
      <c r="B28" s="25" t="s">
        <v>77</v>
      </c>
      <c r="C28" s="37" t="s">
        <v>160</v>
      </c>
      <c r="D28" s="27" t="s">
        <v>47</v>
      </c>
      <c r="E28" s="27" t="s">
        <v>36</v>
      </c>
      <c r="F28" s="28" t="s">
        <v>161</v>
      </c>
      <c r="G28" s="31">
        <v>0.75</v>
      </c>
      <c r="H28" s="31">
        <v>0.8</v>
      </c>
      <c r="I28" s="35"/>
      <c r="J28" s="27" t="s">
        <v>38</v>
      </c>
      <c r="K28" s="31">
        <f t="shared" si="10"/>
        <v>0</v>
      </c>
      <c r="L28" s="32">
        <v>0.01</v>
      </c>
      <c r="M28" s="31">
        <f t="shared" si="11"/>
        <v>0</v>
      </c>
      <c r="N28" s="2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30" customHeight="1" spans="1:27">
      <c r="A29" s="17"/>
      <c r="B29" s="18" t="s">
        <v>79</v>
      </c>
      <c r="C29" s="19" t="s">
        <v>162</v>
      </c>
      <c r="D29" s="9"/>
      <c r="E29" s="9"/>
      <c r="F29" s="9"/>
      <c r="G29" s="9"/>
      <c r="H29" s="9"/>
      <c r="I29" s="9"/>
      <c r="J29" s="20"/>
      <c r="K29" s="21"/>
      <c r="L29" s="22">
        <f t="shared" ref="L29:M29" si="12">SUM(L30:L34)</f>
        <v>0.1</v>
      </c>
      <c r="M29" s="23">
        <f t="shared" si="12"/>
        <v>0</v>
      </c>
      <c r="N29" s="21" t="s">
        <v>31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" customHeight="1" spans="1:27">
      <c r="A30" s="17"/>
      <c r="B30" s="25" t="s">
        <v>82</v>
      </c>
      <c r="C30" s="37" t="s">
        <v>163</v>
      </c>
      <c r="D30" s="27" t="s">
        <v>164</v>
      </c>
      <c r="E30" s="27" t="s">
        <v>36</v>
      </c>
      <c r="F30" s="28" t="s">
        <v>165</v>
      </c>
      <c r="G30" s="29">
        <v>4.65</v>
      </c>
      <c r="H30" s="29">
        <v>4.8</v>
      </c>
      <c r="I30" s="30"/>
      <c r="J30" s="27" t="s">
        <v>38</v>
      </c>
      <c r="K30" s="31">
        <f t="shared" ref="K30:K34" si="13">IF(H30=0,0,MIN(1,I30/H30))</f>
        <v>0</v>
      </c>
      <c r="L30" s="39">
        <v>0.03</v>
      </c>
      <c r="M30" s="31">
        <f t="shared" ref="M30:M34" si="14">K30*L30</f>
        <v>0</v>
      </c>
      <c r="N30" s="2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" customHeight="1" spans="1:27">
      <c r="A31" s="17"/>
      <c r="B31" s="25" t="s">
        <v>93</v>
      </c>
      <c r="C31" s="37" t="s">
        <v>166</v>
      </c>
      <c r="D31" s="27" t="s">
        <v>47</v>
      </c>
      <c r="E31" s="27" t="s">
        <v>36</v>
      </c>
      <c r="F31" s="28" t="s">
        <v>165</v>
      </c>
      <c r="G31" s="31">
        <v>0.95</v>
      </c>
      <c r="H31" s="31">
        <v>0.97</v>
      </c>
      <c r="I31" s="35"/>
      <c r="J31" s="27" t="s">
        <v>38</v>
      </c>
      <c r="K31" s="31">
        <f t="shared" si="13"/>
        <v>0</v>
      </c>
      <c r="L31" s="32">
        <v>0.02</v>
      </c>
      <c r="M31" s="31">
        <f t="shared" si="14"/>
        <v>0</v>
      </c>
      <c r="N31" s="2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" customHeight="1" spans="1:27">
      <c r="A32" s="17"/>
      <c r="B32" s="25" t="s">
        <v>167</v>
      </c>
      <c r="C32" s="37" t="s">
        <v>168</v>
      </c>
      <c r="D32" s="27" t="s">
        <v>47</v>
      </c>
      <c r="E32" s="27" t="s">
        <v>36</v>
      </c>
      <c r="F32" s="28" t="s">
        <v>165</v>
      </c>
      <c r="G32" s="31">
        <v>0.85</v>
      </c>
      <c r="H32" s="31">
        <v>0.9</v>
      </c>
      <c r="I32" s="35"/>
      <c r="J32" s="27" t="s">
        <v>38</v>
      </c>
      <c r="K32" s="31">
        <f t="shared" si="13"/>
        <v>0</v>
      </c>
      <c r="L32" s="32">
        <v>0.02</v>
      </c>
      <c r="M32" s="31">
        <f t="shared" si="14"/>
        <v>0</v>
      </c>
      <c r="N32" s="2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" customHeight="1" spans="1:27">
      <c r="A33" s="17"/>
      <c r="B33" s="25" t="s">
        <v>169</v>
      </c>
      <c r="C33" s="37" t="s">
        <v>170</v>
      </c>
      <c r="D33" s="27" t="s">
        <v>47</v>
      </c>
      <c r="E33" s="27" t="s">
        <v>36</v>
      </c>
      <c r="F33" s="28" t="s">
        <v>171</v>
      </c>
      <c r="G33" s="31">
        <v>0.88</v>
      </c>
      <c r="H33" s="31">
        <v>0.95</v>
      </c>
      <c r="I33" s="35"/>
      <c r="J33" s="27" t="s">
        <v>38</v>
      </c>
      <c r="K33" s="31">
        <f t="shared" si="13"/>
        <v>0</v>
      </c>
      <c r="L33" s="32">
        <v>0.02</v>
      </c>
      <c r="M33" s="31">
        <f t="shared" si="14"/>
        <v>0</v>
      </c>
      <c r="N33" s="2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" customHeight="1" spans="1:27">
      <c r="A34" s="17"/>
      <c r="B34" s="25" t="s">
        <v>172</v>
      </c>
      <c r="C34" s="37" t="s">
        <v>173</v>
      </c>
      <c r="D34" s="27" t="s">
        <v>47</v>
      </c>
      <c r="E34" s="27" t="s">
        <v>36</v>
      </c>
      <c r="F34" s="28" t="s">
        <v>174</v>
      </c>
      <c r="G34" s="31">
        <v>1</v>
      </c>
      <c r="H34" s="31">
        <v>1</v>
      </c>
      <c r="I34" s="35"/>
      <c r="J34" s="27" t="s">
        <v>38</v>
      </c>
      <c r="K34" s="31">
        <f t="shared" si="13"/>
        <v>0</v>
      </c>
      <c r="L34" s="32">
        <v>0.01</v>
      </c>
      <c r="M34" s="31">
        <f t="shared" si="14"/>
        <v>0</v>
      </c>
      <c r="N34" s="2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30" customHeight="1" spans="1:27">
      <c r="A35" s="17"/>
      <c r="B35" s="18" t="s">
        <v>99</v>
      </c>
      <c r="C35" s="19" t="s">
        <v>175</v>
      </c>
      <c r="D35" s="9"/>
      <c r="E35" s="9"/>
      <c r="F35" s="9"/>
      <c r="G35" s="9"/>
      <c r="H35" s="9"/>
      <c r="I35" s="9"/>
      <c r="J35" s="20"/>
      <c r="K35" s="21"/>
      <c r="L35" s="22">
        <f t="shared" ref="L35:M35" si="15">L36+L40</f>
        <v>0.15</v>
      </c>
      <c r="M35" s="23">
        <f t="shared" si="15"/>
        <v>0</v>
      </c>
      <c r="N35" s="21" t="s">
        <v>176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" customHeight="1" spans="1:27">
      <c r="A36" s="17"/>
      <c r="B36" s="40" t="s">
        <v>101</v>
      </c>
      <c r="C36" s="41" t="s">
        <v>83</v>
      </c>
      <c r="D36" s="9"/>
      <c r="E36" s="9"/>
      <c r="F36" s="9"/>
      <c r="G36" s="9"/>
      <c r="H36" s="9"/>
      <c r="I36" s="9"/>
      <c r="J36" s="20"/>
      <c r="K36" s="42"/>
      <c r="L36" s="43">
        <f t="shared" ref="L36:M36" si="16">SUM(L37:L39)</f>
        <v>0.15</v>
      </c>
      <c r="M36" s="44">
        <f t="shared" si="16"/>
        <v>0</v>
      </c>
      <c r="N36" s="4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" customHeight="1" spans="1:27">
      <c r="A37" s="17"/>
      <c r="B37" s="25" t="s">
        <v>177</v>
      </c>
      <c r="C37" s="26" t="s">
        <v>85</v>
      </c>
      <c r="D37" s="27" t="s">
        <v>47</v>
      </c>
      <c r="E37" s="27" t="s">
        <v>86</v>
      </c>
      <c r="F37" s="28" t="s">
        <v>87</v>
      </c>
      <c r="G37" s="31"/>
      <c r="H37" s="31">
        <v>1</v>
      </c>
      <c r="I37" s="35"/>
      <c r="J37" s="27" t="s">
        <v>38</v>
      </c>
      <c r="K37" s="31">
        <f t="shared" ref="K37:K39" si="17">IF(H37=0,0,MIN(1,I37/H37))</f>
        <v>0</v>
      </c>
      <c r="L37" s="36">
        <f t="shared" ref="L37:L39" si="18">IF(SUM($I$41:$I$43)=0,0.15/3,0.075/3)</f>
        <v>0.05</v>
      </c>
      <c r="M37" s="31">
        <f t="shared" ref="M37:M39" si="19">K37*L37</f>
        <v>0</v>
      </c>
      <c r="N37" s="2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" customHeight="1" spans="1:27">
      <c r="A38" s="17"/>
      <c r="B38" s="25" t="s">
        <v>178</v>
      </c>
      <c r="C38" s="26" t="s">
        <v>89</v>
      </c>
      <c r="D38" s="27" t="s">
        <v>47</v>
      </c>
      <c r="E38" s="27" t="s">
        <v>86</v>
      </c>
      <c r="F38" s="28" t="s">
        <v>87</v>
      </c>
      <c r="G38" s="31"/>
      <c r="H38" s="31">
        <v>0.97</v>
      </c>
      <c r="I38" s="35"/>
      <c r="J38" s="27" t="s">
        <v>38</v>
      </c>
      <c r="K38" s="31">
        <f t="shared" si="17"/>
        <v>0</v>
      </c>
      <c r="L38" s="36">
        <f t="shared" si="18"/>
        <v>0.05</v>
      </c>
      <c r="M38" s="31">
        <f t="shared" si="19"/>
        <v>0</v>
      </c>
      <c r="N38" s="2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" customHeight="1" spans="1:27">
      <c r="A39" s="17"/>
      <c r="B39" s="25" t="s">
        <v>179</v>
      </c>
      <c r="C39" s="26" t="s">
        <v>91</v>
      </c>
      <c r="D39" s="27" t="s">
        <v>47</v>
      </c>
      <c r="E39" s="27" t="s">
        <v>86</v>
      </c>
      <c r="F39" s="28" t="s">
        <v>92</v>
      </c>
      <c r="G39" s="31"/>
      <c r="H39" s="31">
        <v>1</v>
      </c>
      <c r="I39" s="35"/>
      <c r="J39" s="27" t="s">
        <v>38</v>
      </c>
      <c r="K39" s="31">
        <f t="shared" si="17"/>
        <v>0</v>
      </c>
      <c r="L39" s="36">
        <f t="shared" si="18"/>
        <v>0.05</v>
      </c>
      <c r="M39" s="31">
        <f t="shared" si="19"/>
        <v>0</v>
      </c>
      <c r="N39" s="2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" customHeight="1" spans="1:27">
      <c r="A40" s="17"/>
      <c r="B40" s="40" t="s">
        <v>104</v>
      </c>
      <c r="C40" s="41" t="s">
        <v>94</v>
      </c>
      <c r="D40" s="9"/>
      <c r="E40" s="9"/>
      <c r="F40" s="9"/>
      <c r="G40" s="9"/>
      <c r="H40" s="9"/>
      <c r="I40" s="9"/>
      <c r="J40" s="20"/>
      <c r="K40" s="42"/>
      <c r="L40" s="43">
        <f t="shared" ref="L40:M40" si="20">SUM(L41:L43)</f>
        <v>0</v>
      </c>
      <c r="M40" s="44">
        <f t="shared" si="20"/>
        <v>0</v>
      </c>
      <c r="N40" s="4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" customHeight="1" spans="1:27">
      <c r="A41" s="17"/>
      <c r="B41" s="25" t="s">
        <v>180</v>
      </c>
      <c r="C41" s="26" t="s">
        <v>85</v>
      </c>
      <c r="D41" s="27" t="s">
        <v>47</v>
      </c>
      <c r="E41" s="27" t="s">
        <v>86</v>
      </c>
      <c r="F41" s="28" t="s">
        <v>87</v>
      </c>
      <c r="G41" s="31"/>
      <c r="H41" s="31">
        <v>1</v>
      </c>
      <c r="I41" s="35"/>
      <c r="J41" s="27" t="s">
        <v>38</v>
      </c>
      <c r="K41" s="31">
        <f t="shared" ref="K41:K43" si="21">IF(H41=0,0,MIN(1,I41/H41))</f>
        <v>0</v>
      </c>
      <c r="L41" s="36">
        <f t="shared" ref="L41:L43" si="22">IF(SUM($I$41:$I$43)=0,0,0.075/3)</f>
        <v>0</v>
      </c>
      <c r="M41" s="31">
        <f t="shared" ref="M41:M43" si="23">K41*L41</f>
        <v>0</v>
      </c>
      <c r="N41" s="2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" customHeight="1" spans="1:27">
      <c r="A42" s="17"/>
      <c r="B42" s="25" t="s">
        <v>181</v>
      </c>
      <c r="C42" s="26" t="s">
        <v>89</v>
      </c>
      <c r="D42" s="27" t="s">
        <v>47</v>
      </c>
      <c r="E42" s="27" t="s">
        <v>86</v>
      </c>
      <c r="F42" s="28" t="s">
        <v>87</v>
      </c>
      <c r="G42" s="31"/>
      <c r="H42" s="31">
        <v>0.97</v>
      </c>
      <c r="I42" s="35"/>
      <c r="J42" s="27" t="s">
        <v>38</v>
      </c>
      <c r="K42" s="31">
        <f t="shared" si="21"/>
        <v>0</v>
      </c>
      <c r="L42" s="36">
        <f t="shared" si="22"/>
        <v>0</v>
      </c>
      <c r="M42" s="31">
        <f t="shared" si="23"/>
        <v>0</v>
      </c>
      <c r="N42" s="2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" customHeight="1" spans="1:27">
      <c r="A43" s="17"/>
      <c r="B43" s="25" t="s">
        <v>182</v>
      </c>
      <c r="C43" s="26" t="s">
        <v>91</v>
      </c>
      <c r="D43" s="27" t="s">
        <v>47</v>
      </c>
      <c r="E43" s="27" t="s">
        <v>86</v>
      </c>
      <c r="F43" s="28" t="s">
        <v>92</v>
      </c>
      <c r="G43" s="31"/>
      <c r="H43" s="31">
        <v>1</v>
      </c>
      <c r="I43" s="35"/>
      <c r="J43" s="27" t="s">
        <v>38</v>
      </c>
      <c r="K43" s="31">
        <f t="shared" si="21"/>
        <v>0</v>
      </c>
      <c r="L43" s="36">
        <f t="shared" si="22"/>
        <v>0</v>
      </c>
      <c r="M43" s="31">
        <f t="shared" si="23"/>
        <v>0</v>
      </c>
      <c r="N43" s="26" t="s">
        <v>98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30" customHeight="1" spans="1:27">
      <c r="A44" s="17"/>
      <c r="B44" s="18" t="s">
        <v>111</v>
      </c>
      <c r="C44" s="19" t="s">
        <v>183</v>
      </c>
      <c r="D44" s="9"/>
      <c r="E44" s="9"/>
      <c r="F44" s="9"/>
      <c r="G44" s="9"/>
      <c r="H44" s="9"/>
      <c r="I44" s="9"/>
      <c r="J44" s="20"/>
      <c r="K44" s="21"/>
      <c r="L44" s="22">
        <f t="shared" ref="L44:M44" si="24">SUM(L45:L47)</f>
        <v>0.1</v>
      </c>
      <c r="M44" s="23">
        <f t="shared" si="24"/>
        <v>0</v>
      </c>
      <c r="N44" s="21" t="s">
        <v>31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" customHeight="1" spans="1:27">
      <c r="A45" s="17"/>
      <c r="B45" s="25" t="s">
        <v>114</v>
      </c>
      <c r="C45" s="26" t="s">
        <v>102</v>
      </c>
      <c r="D45" s="27" t="s">
        <v>47</v>
      </c>
      <c r="E45" s="27" t="s">
        <v>36</v>
      </c>
      <c r="F45" s="28" t="s">
        <v>103</v>
      </c>
      <c r="G45" s="31">
        <v>0.85</v>
      </c>
      <c r="H45" s="31">
        <v>0.9</v>
      </c>
      <c r="I45" s="35"/>
      <c r="J45" s="27" t="s">
        <v>38</v>
      </c>
      <c r="K45" s="31">
        <f>IF(H45=0,0,MIN(1,I45/H45))</f>
        <v>0</v>
      </c>
      <c r="L45" s="32">
        <v>0.04</v>
      </c>
      <c r="M45" s="31">
        <f t="shared" ref="M45:M47" si="25">K45*L45</f>
        <v>0</v>
      </c>
      <c r="N45" s="2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" customHeight="1" spans="1:27">
      <c r="A46" s="17"/>
      <c r="B46" s="25" t="s">
        <v>184</v>
      </c>
      <c r="C46" s="26" t="s">
        <v>105</v>
      </c>
      <c r="D46" s="27" t="s">
        <v>47</v>
      </c>
      <c r="E46" s="27" t="s">
        <v>86</v>
      </c>
      <c r="F46" s="28" t="s">
        <v>106</v>
      </c>
      <c r="G46" s="31">
        <v>0</v>
      </c>
      <c r="H46" s="31">
        <v>0.05</v>
      </c>
      <c r="I46" s="35"/>
      <c r="J46" s="27" t="s">
        <v>107</v>
      </c>
      <c r="K46" s="31">
        <f>IF(I46=0,0,MIN(1,H46/I46))</f>
        <v>0</v>
      </c>
      <c r="L46" s="32">
        <v>0.03</v>
      </c>
      <c r="M46" s="31">
        <f t="shared" si="25"/>
        <v>0</v>
      </c>
      <c r="N46" s="2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" customHeight="1" spans="1:27">
      <c r="A47" s="17"/>
      <c r="B47" s="25" t="s">
        <v>185</v>
      </c>
      <c r="C47" s="37" t="s">
        <v>186</v>
      </c>
      <c r="D47" s="27" t="s">
        <v>47</v>
      </c>
      <c r="E47" s="27" t="s">
        <v>86</v>
      </c>
      <c r="F47" s="28" t="s">
        <v>110</v>
      </c>
      <c r="G47" s="31">
        <v>0.85</v>
      </c>
      <c r="H47" s="45">
        <v>0.9</v>
      </c>
      <c r="I47" s="35"/>
      <c r="J47" s="27" t="s">
        <v>38</v>
      </c>
      <c r="K47" s="31">
        <f>IF(H47=0,0,MIN(1,I47/H47))</f>
        <v>0</v>
      </c>
      <c r="L47" s="32">
        <v>0.03</v>
      </c>
      <c r="M47" s="31">
        <f t="shared" si="25"/>
        <v>0</v>
      </c>
      <c r="N47" s="2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1.75" customHeight="1" spans="1:27">
      <c r="A48" s="17"/>
      <c r="B48" s="19" t="s">
        <v>120</v>
      </c>
      <c r="C48" s="9"/>
      <c r="D48" s="9"/>
      <c r="E48" s="9"/>
      <c r="F48" s="9"/>
      <c r="G48" s="9"/>
      <c r="H48" s="9"/>
      <c r="I48" s="9"/>
      <c r="J48" s="20"/>
      <c r="K48" s="17"/>
      <c r="L48" s="46">
        <f t="shared" ref="L48:M48" si="26">L11+L15+L18+L23+L29+L35+L44</f>
        <v>1</v>
      </c>
      <c r="M48" s="47">
        <f t="shared" si="26"/>
        <v>0</v>
      </c>
      <c r="N48" s="1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 spans="1:27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 spans="1:27">
      <c r="A50" s="17"/>
      <c r="B50" s="48" t="s">
        <v>121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 spans="1:27">
      <c r="A51" s="17"/>
      <c r="B51" s="49" t="s">
        <v>122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 spans="1:27">
      <c r="A52" s="17"/>
      <c r="B52" s="49" t="s">
        <v>123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 spans="1:27">
      <c r="A53" s="17"/>
      <c r="B53" s="49" t="s">
        <v>187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 spans="1:27">
      <c r="A54" s="17"/>
      <c r="B54" s="49" t="s">
        <v>188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 spans="1:27">
      <c r="A55" s="17"/>
      <c r="B55" s="49" t="s">
        <v>189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 spans="1:27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 spans="1:2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 spans="1:27">
      <c r="A58" s="17"/>
      <c r="B58" s="17"/>
      <c r="C58" s="49" t="s">
        <v>127</v>
      </c>
      <c r="D58" s="17"/>
      <c r="E58" s="17"/>
      <c r="F58" s="49" t="s">
        <v>128</v>
      </c>
      <c r="G58" s="17"/>
      <c r="H58" s="17"/>
      <c r="I58" s="17"/>
      <c r="J58" s="49" t="s">
        <v>129</v>
      </c>
      <c r="K58" s="17"/>
      <c r="L58" s="17"/>
      <c r="M58" s="17"/>
      <c r="N58" s="17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 spans="1:27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 spans="1:27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 spans="1:27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 spans="1:27">
      <c r="A62" s="17"/>
      <c r="B62" s="17"/>
      <c r="C62" s="49" t="s">
        <v>130</v>
      </c>
      <c r="D62" s="17"/>
      <c r="E62" s="17"/>
      <c r="F62" s="49" t="s">
        <v>130</v>
      </c>
      <c r="G62" s="17"/>
      <c r="H62" s="17"/>
      <c r="I62" s="17"/>
      <c r="J62" s="49" t="s">
        <v>130</v>
      </c>
      <c r="K62" s="17"/>
      <c r="L62" s="17"/>
      <c r="M62" s="17"/>
      <c r="N62" s="17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 spans="1:27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 spans="1:27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 spans="1:27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 spans="1:2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 spans="1:2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 spans="1:27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 spans="1:27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 spans="1:27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 spans="1:27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 spans="1:27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 spans="1:27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 spans="1:27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 spans="1:2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 spans="1:2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 spans="1:2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 spans="1:2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 spans="1:2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 spans="1:2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 spans="1:27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 spans="1:27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 spans="1:27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 spans="1:27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 spans="1:27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 spans="1:27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 spans="1:2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 spans="1:27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 spans="1:27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 spans="1:27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 spans="1:27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 spans="1:27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 spans="1:27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 spans="1:27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 spans="1:27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 spans="1:27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 spans="1:2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 spans="1:27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 spans="1:27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 spans="1:27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 spans="1:27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 spans="1:27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 spans="1:27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 spans="1:27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 spans="1:27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 spans="1:27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 spans="1:2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 spans="1:27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 spans="1:27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 spans="1:27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 spans="1:27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 spans="1:27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 spans="1:27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 spans="1:27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 spans="1:27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 spans="1:27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 spans="1:2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 spans="1:27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 spans="1:27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 spans="1:27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 spans="1:27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 spans="1:27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 spans="1:27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 spans="1:27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 spans="1:27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 spans="1:27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 spans="1: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 spans="1:27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 spans="1:27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 spans="1:27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 spans="1:27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 spans="1:27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 spans="1:27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 spans="1:27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 spans="1:27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 spans="1:27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 spans="1:2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 spans="1:27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 spans="1:27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 spans="1:27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 spans="1:27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 spans="1:27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 spans="1:27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 spans="1:27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 spans="1:27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 spans="1:27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 spans="1:2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 spans="1:27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 spans="1:27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 spans="1:27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 spans="1:27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 spans="1:27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 spans="1:27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 spans="1:27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 spans="1:27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 spans="1:27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 spans="1:2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 spans="1:27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 spans="1:27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 spans="1:27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 spans="1:27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 spans="1:27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 spans="1:27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 spans="1:27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 spans="1:27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 spans="1:27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 spans="1:2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 spans="1:27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 spans="1:27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 spans="1:27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 spans="1:27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 spans="1:27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 spans="1:27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 spans="1:27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 spans="1:27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 spans="1:27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 spans="1:2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 spans="1:27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 spans="1:27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 spans="1:27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 spans="1:27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 spans="1:2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 spans="1:2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 spans="1:2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 spans="1:2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 spans="1:2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 spans="1:2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 spans="1:2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 spans="1:2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 spans="1:2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 spans="1:2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 spans="1:2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 spans="1:2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 spans="1:2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 spans="1:2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 spans="1:2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 spans="1:2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 spans="1:2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 spans="1:2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 spans="1:2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 spans="1:2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 spans="1:2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 spans="1:2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 spans="1:2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 spans="1:2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 spans="1:2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 spans="1:2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 spans="1:2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 spans="1:2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 spans="1:2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 spans="1:2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 spans="1:2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 spans="1:2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 spans="1:2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 spans="1:2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 spans="1:2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 spans="1:2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 spans="1:2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 spans="1:2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 spans="1:2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 spans="1:2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 spans="1:2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 spans="1:2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 spans="1:2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 spans="1:2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 spans="1:2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 spans="1: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 spans="1:2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 spans="1:2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 spans="1:2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 spans="1:2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 spans="1:2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 spans="1:2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 spans="1:2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 spans="1:2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 spans="1:2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 spans="1:2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 spans="1:2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 spans="1:2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 spans="1:2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 spans="1:2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 spans="1:2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 spans="1:2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 spans="1:2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 spans="1:2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 spans="1:2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 spans="1:2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 spans="1:2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 spans="1:2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 spans="1:2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 spans="1:2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 spans="1:2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 spans="1:2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 spans="1:2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 spans="1:2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 spans="1:2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 spans="1:2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 spans="1:2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 spans="1:2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 spans="1:2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 spans="1:2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 spans="1:2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N2"/>
    <mergeCell ref="B3:N3"/>
    <mergeCell ref="B4:N4"/>
    <mergeCell ref="B6:C6"/>
    <mergeCell ref="D6:H6"/>
    <mergeCell ref="I6:J6"/>
    <mergeCell ref="K6:N6"/>
    <mergeCell ref="B7:C7"/>
    <mergeCell ref="D7:H7"/>
    <mergeCell ref="I7:J7"/>
    <mergeCell ref="K7:N7"/>
    <mergeCell ref="B8:C8"/>
    <mergeCell ref="D8:H8"/>
    <mergeCell ref="I8:J8"/>
    <mergeCell ref="C11:J11"/>
    <mergeCell ref="C15:J15"/>
    <mergeCell ref="C18:J18"/>
    <mergeCell ref="C23:J23"/>
    <mergeCell ref="C29:J29"/>
    <mergeCell ref="C35:J35"/>
    <mergeCell ref="C36:J36"/>
    <mergeCell ref="C40:J40"/>
    <mergeCell ref="C44:J44"/>
    <mergeCell ref="B48:J48"/>
  </mergeCells>
  <dataValidations count="1">
    <dataValidation type="list" allowBlank="1" sqref="K8">
      <formula1>"Agustus,September,Oktober,November,Desember"</formula1>
    </dataValidation>
  </dataValidations>
  <pageMargins left="0.75" right="0.75" top="1" bottom="1" header="0" footer="0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Branding &amp; Digital Marketing</vt:lpstr>
      <vt:lpstr>Commerce &amp; Offline 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tigap</cp:lastModifiedBy>
  <dcterms:created xsi:type="dcterms:W3CDTF">2026-07-01T00:08:00Z</dcterms:created>
  <dcterms:modified xsi:type="dcterms:W3CDTF">2026-09-16T10:21:53Z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420E4BB9268349EAA9BD31FD61D593BA_13</vt:lpwstr>
  </property>
</Properties>
</file>